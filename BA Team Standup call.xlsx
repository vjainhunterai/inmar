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gpohealthcom.sharepoint.com/sites/BusinessAnalytics/Shared Documents/Meeting Notes/"/>
    </mc:Choice>
  </mc:AlternateContent>
  <xr:revisionPtr revIDLastSave="0" documentId="8_{18D5C8AB-6C11-4C68-AD7B-0BF9A8A3FDFB}" xr6:coauthVersionLast="47" xr6:coauthVersionMax="47" xr10:uidLastSave="{00000000-0000-0000-0000-000000000000}"/>
  <bookViews>
    <workbookView minimized="1" xWindow="8784" yWindow="282" windowWidth="10206" windowHeight="12078" firstSheet="1" activeTab="1" xr2:uid="{7C2A8896-F74F-4A2D-8DBE-E221DD99E535}"/>
  </bookViews>
  <sheets>
    <sheet name="List" sheetId="3" r:id="rId1"/>
    <sheet name="Anomalies Development" sheetId="4" r:id="rId2"/>
    <sheet name="Admin Fee Development" sheetId="5" r:id="rId3"/>
    <sheet name="Sheet1" sheetId="6" state="hidden" r:id="rId4"/>
    <sheet name="Notes" sheetId="1" state="hidden" r:id="rId5"/>
  </sheets>
  <definedNames>
    <definedName name="_xlnm._FilterDatabase" localSheetId="0" hidden="1">List!$B$3:$B$261</definedName>
    <definedName name="_xlnm._FilterDatabase" localSheetId="4" hidden="1">Notes!$A$1:$I$122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5" l="1"/>
  <c r="O1" i="4"/>
  <c r="B70" i="3"/>
  <c r="B71" i="3" s="1"/>
  <c r="B72" i="3" s="1"/>
  <c r="B73" i="3" s="1"/>
  <c r="B74" i="3" s="1"/>
  <c r="H21" i="3"/>
  <c r="B5" i="3"/>
  <c r="B6" i="3" s="1"/>
  <c r="B7" i="3" s="1"/>
  <c r="B8" i="3" s="1"/>
  <c r="B9" i="3" s="1"/>
  <c r="B10" i="3" s="1"/>
  <c r="B11" i="3" s="1"/>
  <c r="B12" i="3" s="1"/>
  <c r="B13" i="3" s="1"/>
  <c r="B14" i="3" s="1"/>
  <c r="B15" i="3" s="1"/>
  <c r="B16" i="3" s="1"/>
  <c r="B17" i="3" s="1"/>
  <c r="B18" i="3" s="1"/>
  <c r="B19" i="3" s="1"/>
  <c r="B20" i="3" s="1"/>
  <c r="B21" i="3" s="1"/>
  <c r="M1" i="3"/>
</calcChain>
</file>

<file path=xl/sharedStrings.xml><?xml version="1.0" encoding="utf-8"?>
<sst xmlns="http://schemas.openxmlformats.org/spreadsheetml/2006/main" count="2508" uniqueCount="1061">
  <si>
    <t>Date:</t>
  </si>
  <si>
    <t>№</t>
  </si>
  <si>
    <t>Type</t>
  </si>
  <si>
    <t>SOW</t>
  </si>
  <si>
    <t>Subject</t>
  </si>
  <si>
    <t>Main arrangements</t>
  </si>
  <si>
    <t>Assigned to</t>
  </si>
  <si>
    <t>Start date</t>
  </si>
  <si>
    <t>Deadline</t>
  </si>
  <si>
    <t>Priority</t>
  </si>
  <si>
    <t>Customer status</t>
  </si>
  <si>
    <t>Status</t>
  </si>
  <si>
    <t>Comment</t>
  </si>
  <si>
    <t>Request raised by</t>
  </si>
  <si>
    <t>Request approved by</t>
  </si>
  <si>
    <t>New release</t>
  </si>
  <si>
    <t>Rebates / Admin Fee</t>
  </si>
  <si>
    <t>Medline Item-Commodity</t>
  </si>
  <si>
    <t>Check web scrapping for Medline</t>
  </si>
  <si>
    <t>Product Engineering</t>
  </si>
  <si>
    <t>tbc</t>
  </si>
  <si>
    <t>On Hold</t>
  </si>
  <si>
    <t>Discounts</t>
  </si>
  <si>
    <t>Medline / Medtornic - match contract items to spend items to validate price applied</t>
  </si>
  <si>
    <t>Mapping to spend descriptions in progress. Categorization close to completion; next - lineage to spend (430 records completed)</t>
  </si>
  <si>
    <t>Dr.Gen</t>
  </si>
  <si>
    <t>Feedback</t>
  </si>
  <si>
    <t>Payment Terms</t>
  </si>
  <si>
    <t>Iteration-III Payment Terms (days and text)</t>
  </si>
  <si>
    <t>Feedback provided 21/01</t>
  </si>
  <si>
    <t>Kristina</t>
  </si>
  <si>
    <t>Completed</t>
  </si>
  <si>
    <t>Invoice Anomalies</t>
  </si>
  <si>
    <t>Duplicate Payments: Iteration-III (main model)</t>
  </si>
  <si>
    <t>run on 2021-2023 combined.feedback provided 13/01</t>
  </si>
  <si>
    <t>Daria</t>
  </si>
  <si>
    <t>Payment Anomalies Iteration-II (anomalies in amounts)</t>
  </si>
  <si>
    <t>feedback provided 17/01</t>
  </si>
  <si>
    <t>Payment Terms Anomaly Iteration-II (anomalies in payment after due date)</t>
  </si>
  <si>
    <t>Semen</t>
  </si>
  <si>
    <t>Portugal</t>
  </si>
  <si>
    <t>Categorization iteration-I</t>
  </si>
  <si>
    <t>pharm, med equipment &amp; IT feedback provided</t>
  </si>
  <si>
    <t>SLU assignment</t>
  </si>
  <si>
    <t>feedback provided 28/01</t>
  </si>
  <si>
    <t>prioritize suggestions for development</t>
  </si>
  <si>
    <t>Anomalies</t>
  </si>
  <si>
    <t>2021-2023 output</t>
  </si>
  <si>
    <t>submit validation stats</t>
  </si>
  <si>
    <t>2020 Fuzzy Output</t>
  </si>
  <si>
    <t>98% reviewed; transaction &gt;$1.5k investigated</t>
  </si>
  <si>
    <t>2020 ML1, ML2, Rules</t>
  </si>
  <si>
    <t>2024 Fuzzy Output</t>
  </si>
  <si>
    <t>2024 ML1, ML2, Rules</t>
  </si>
  <si>
    <t>Daria, Kristina</t>
  </si>
  <si>
    <t>2024 Vendor Dedup</t>
  </si>
  <si>
    <t>Vendor Dedup</t>
  </si>
  <si>
    <t>Vendor Master List Sync</t>
  </si>
  <si>
    <t>2020, 2024 deduping valdation complete. Vineet to share the output (~300 vendors mismatch)</t>
  </si>
  <si>
    <t>Vineet</t>
  </si>
  <si>
    <t>validate if changes are rquired</t>
  </si>
  <si>
    <t>Iteration-II output</t>
  </si>
  <si>
    <r>
      <rPr>
        <sz val="11"/>
        <color rgb="FF2E2E2E"/>
        <rFont val="Arial"/>
        <family val="2"/>
        <charset val="204"/>
      </rPr>
      <t xml:space="preserve">reduce fall positives: </t>
    </r>
    <r>
      <rPr>
        <sz val="11"/>
        <color rgb="FF00B050"/>
        <rFont val="Arial"/>
        <family val="2"/>
        <charset val="204"/>
      </rPr>
      <t>remove lines match (fixed)</t>
    </r>
    <r>
      <rPr>
        <sz val="11"/>
        <color rgb="FF2E2E2E"/>
        <rFont val="Arial"/>
        <family val="2"/>
        <charset val="204"/>
      </rPr>
      <t xml:space="preserve">, monthly recurring payments </t>
    </r>
    <r>
      <rPr>
        <sz val="11"/>
        <color rgb="FF00B050"/>
        <rFont val="Arial"/>
        <family val="2"/>
        <charset val="204"/>
      </rPr>
      <t>(ok - have a flag now)</t>
    </r>
    <r>
      <rPr>
        <sz val="11"/>
        <color rgb="FF2E2E2E"/>
        <rFont val="Arial"/>
        <family val="2"/>
        <charset val="204"/>
      </rPr>
      <t xml:space="preserve">. Increase true positives: same check number scenario </t>
    </r>
    <r>
      <rPr>
        <sz val="11"/>
        <color rgb="FFFFC000"/>
        <rFont val="Arial"/>
        <family val="2"/>
        <charset val="204"/>
      </rPr>
      <t>(output received for fuzzy)</t>
    </r>
    <r>
      <rPr>
        <sz val="11"/>
        <color rgb="FF2E2E2E"/>
        <rFont val="Arial"/>
        <family val="2"/>
        <charset val="204"/>
      </rPr>
      <t xml:space="preserve">; match invoice even with different number of line items based on total amount </t>
    </r>
    <r>
      <rPr>
        <sz val="11"/>
        <color rgb="FF00B050"/>
        <rFont val="Arial"/>
        <family val="2"/>
        <charset val="204"/>
      </rPr>
      <t>(ok - have a split invoices model now)</t>
    </r>
  </si>
  <si>
    <t>next execution</t>
  </si>
  <si>
    <t>Submit new confirmed instances that were not detected by algorithms</t>
  </si>
  <si>
    <t>daily</t>
  </si>
  <si>
    <t>Sveta</t>
  </si>
  <si>
    <t>Split record algorithm review</t>
  </si>
  <si>
    <t>Compliance</t>
  </si>
  <si>
    <t>508 accessibility</t>
  </si>
  <si>
    <t>2021-2022-2023 split invoices</t>
  </si>
  <si>
    <t>Process Vendor Dedup Changes</t>
  </si>
  <si>
    <t>Validate dedup changes, see if any inconsistencies still there</t>
  </si>
  <si>
    <t>Confirmed Anomalies Categorization</t>
  </si>
  <si>
    <t>Bhagya</t>
  </si>
  <si>
    <t>Fuzzy across years</t>
  </si>
  <si>
    <t>Feback on new flags</t>
  </si>
  <si>
    <t xml:space="preserve">Kristina / Daria </t>
  </si>
  <si>
    <t>Split Multiline</t>
  </si>
  <si>
    <t>Split Multiline Updated output</t>
  </si>
  <si>
    <t>Same invoice, different supplier</t>
  </si>
  <si>
    <t>Anomalies-2</t>
  </si>
  <si>
    <t>Abnormal Payment Amounts 12-sigma</t>
  </si>
  <si>
    <t>Late/Early Payment Anomaly</t>
  </si>
  <si>
    <t>QnI Anomaly</t>
  </si>
  <si>
    <t>Vendor Deduping</t>
  </si>
  <si>
    <t>Update db</t>
  </si>
  <si>
    <t>New Release</t>
  </si>
  <si>
    <t>Rebates</t>
  </si>
  <si>
    <t>Vendor Names for Meditract Contracts</t>
  </si>
  <si>
    <t>Dedup check</t>
  </si>
  <si>
    <t>Daria/Kristina</t>
  </si>
  <si>
    <t>AnomalyHunt Engagement: Observations for Discussion</t>
  </si>
  <si>
    <t>Feedback incorporated, shared with the client</t>
  </si>
  <si>
    <t>Flags - Iteration 2</t>
  </si>
  <si>
    <t>will be provided for validation, same dataset</t>
  </si>
  <si>
    <t>Check feedback</t>
  </si>
  <si>
    <t>Dedup</t>
  </si>
  <si>
    <t>Across all alias names</t>
  </si>
  <si>
    <t>received</t>
  </si>
  <si>
    <t>Project</t>
  </si>
  <si>
    <t>Chicago IT</t>
  </si>
  <si>
    <t>IT Categorization Validation - Chicago/FTI</t>
  </si>
  <si>
    <t>top items validation: 2024-25 - done and shared, other years to provide</t>
  </si>
  <si>
    <t>Sveta / Hunter</t>
  </si>
  <si>
    <t>wip</t>
  </si>
  <si>
    <t>Delayed until 2026</t>
  </si>
  <si>
    <t>This would be to allow our consulting partner FTI to assess Chicago for a IT Savings Program</t>
  </si>
  <si>
    <t>Research</t>
  </si>
  <si>
    <t>Catalogues with MPNs</t>
  </si>
  <si>
    <t>Delaware Vendor Dedup feedback</t>
  </si>
  <si>
    <t>AP and PO deduping</t>
  </si>
  <si>
    <t>Admin Fee</t>
  </si>
  <si>
    <t>AP to PO integration</t>
  </si>
  <si>
    <t>Flags - Iteration 3</t>
  </si>
  <si>
    <t>Updated flag received + comments</t>
  </si>
  <si>
    <t>Deduping Amin Fee</t>
  </si>
  <si>
    <t>Deduping PO Manufacturer</t>
  </si>
  <si>
    <t>1K new records; at final review stage</t>
  </si>
  <si>
    <t>Sveta / Daria</t>
  </si>
  <si>
    <t>PO and AP integrated file</t>
  </si>
  <si>
    <t>updated output received</t>
  </si>
  <si>
    <t>Re-run 2025 with Flags - Iteration 3 logics</t>
  </si>
  <si>
    <t>fuzzy reversal flag question</t>
  </si>
  <si>
    <t>Feedback on anomalies</t>
  </si>
  <si>
    <t>fuzzy output reviewed; feedback will be shared today</t>
  </si>
  <si>
    <t>AP to PO lineage</t>
  </si>
  <si>
    <r>
      <t xml:space="preserve">rulebased part received - reviewed, </t>
    </r>
    <r>
      <rPr>
        <sz val="11"/>
        <color rgb="FFFFC000"/>
        <rFont val="Arial"/>
        <family val="2"/>
        <charset val="204"/>
        <scheme val="minor"/>
      </rPr>
      <t>ML part in progress</t>
    </r>
  </si>
  <si>
    <t xml:space="preserve">Priority, working through legal with CC so slight delay in the expected delivery time </t>
  </si>
  <si>
    <t>This is presented to Premier (GPO) on behalf of Delaware to prove underpaid fees and recoup admin fees.</t>
  </si>
  <si>
    <t>PP-LA-524 Roche Diagnostics contract AP to PO lineage</t>
  </si>
  <si>
    <t>rulebased part received - to review</t>
  </si>
  <si>
    <t>PP-NS-1600 AP-PO-Distributor Report Integration</t>
  </si>
  <si>
    <t>provide feedback</t>
  </si>
  <si>
    <t>PO-AP lineage algorighm</t>
  </si>
  <si>
    <t xml:space="preserve">Latest feedback (29/10/2025) to be implemented -- adjust output files on contract effective dates + improve PO part. </t>
  </si>
  <si>
    <t>29/10/2025</t>
  </si>
  <si>
    <r>
      <rPr>
        <sz val="11"/>
        <color rgb="FF2E2E2E"/>
        <rFont val="Arial"/>
      </rPr>
      <t xml:space="preserve">awaitng feedback on item master </t>
    </r>
    <r>
      <rPr>
        <sz val="11"/>
        <color rgb="FFFF0000"/>
        <rFont val="Arial"/>
      </rPr>
      <t>1/29/2025</t>
    </r>
  </si>
  <si>
    <t>This is for the recovery of admin fees from Premier</t>
  </si>
  <si>
    <t>Item master is under review to implememt effective dates adjustment</t>
  </si>
  <si>
    <t>Delivery 4: 20 new + 2 old contracts</t>
  </si>
  <si>
    <t>Novus Access</t>
  </si>
  <si>
    <t>Item Master and PO was downloaded, looks not complete</t>
  </si>
  <si>
    <t>400k dedup file</t>
  </si>
  <si>
    <t>provide file</t>
  </si>
  <si>
    <t>Chicago Deduping 2020</t>
  </si>
  <si>
    <t>Chicago Deduping 2021</t>
  </si>
  <si>
    <t>Chicago Deduping 2022</t>
  </si>
  <si>
    <t>Chicago Deduping 2023</t>
  </si>
  <si>
    <t>Chicago Deduping 2024</t>
  </si>
  <si>
    <t>Chicago Deduping 2025</t>
  </si>
  <si>
    <t>2020-2025 Chicago files with seq no</t>
  </si>
  <si>
    <t>Algorithms 2020</t>
  </si>
  <si>
    <t>Algorithms 2021</t>
  </si>
  <si>
    <t>Algorithms 2022</t>
  </si>
  <si>
    <t>Algorithms 2023</t>
  </si>
  <si>
    <t>ML 1 output to be provided</t>
  </si>
  <si>
    <t>Algorithms 2024</t>
  </si>
  <si>
    <t>Algorithms 2025</t>
  </si>
  <si>
    <t>6317 platform access</t>
  </si>
  <si>
    <t>IT</t>
  </si>
  <si>
    <t>Chicago IT Categorization</t>
  </si>
  <si>
    <t>Chicago IT Suppliers and VAR flags file shared</t>
  </si>
  <si>
    <t>30/06/2025</t>
  </si>
  <si>
    <t>Chicago IT Suppliers and VAR flags</t>
  </si>
  <si>
    <t xml:space="preserve">file shared </t>
  </si>
  <si>
    <t>Hunter</t>
  </si>
  <si>
    <t>WCI</t>
  </si>
  <si>
    <t>Chicago Deduping vs 400K</t>
  </si>
  <si>
    <t xml:space="preserve">UCI Deduping </t>
  </si>
  <si>
    <t>file received</t>
  </si>
  <si>
    <t>dedup file feedback</t>
  </si>
  <si>
    <t>Chicago - Incorporating reversals Data</t>
  </si>
  <si>
    <t>Chicago - Incorporating void/cancel flags</t>
  </si>
  <si>
    <t xml:space="preserve">finish cancel flag </t>
  </si>
  <si>
    <t>Chicago Payment Terms Benchmarks</t>
  </si>
  <si>
    <t>New Line Descriptions Embedding into IT Categorization</t>
  </si>
  <si>
    <t>very few long descriptions, decided not to proceed now</t>
  </si>
  <si>
    <t xml:space="preserve">share the feedback on Chicago IT Suppliers and VAR flags </t>
  </si>
  <si>
    <t>15/7/2025</t>
  </si>
  <si>
    <t>Algorithms 2020-25</t>
  </si>
  <si>
    <t xml:space="preserve">to be shared with new void/cancel/reversal flags </t>
  </si>
  <si>
    <t>16/7/2025</t>
  </si>
  <si>
    <t>Chicago Dedup Header File</t>
  </si>
  <si>
    <t>share system output once company vs person name is segregated</t>
  </si>
  <si>
    <t>18/7/2025</t>
  </si>
  <si>
    <t>PO-AP lineage 21 contracts</t>
  </si>
  <si>
    <t>feedback</t>
  </si>
  <si>
    <t>Header File Anomalies 2020-25</t>
  </si>
  <si>
    <t>Delaware Anomalies</t>
  </si>
  <si>
    <t>Delaware Rerun: incremental historical + 2 months 2025  (before 20th)</t>
  </si>
  <si>
    <t>2024-2025 30k non-verified transactions identified</t>
  </si>
  <si>
    <t>PO and Admin Fee 2021-22</t>
  </si>
  <si>
    <t>data quality issues: try to incorporate into estimations for internal use</t>
  </si>
  <si>
    <t>Awaiting new data</t>
  </si>
  <si>
    <t>incorporate feedback, new list of 20 contracts passed to process (received on 8/5/2025)</t>
  </si>
  <si>
    <t>IT Benchmarking data</t>
  </si>
  <si>
    <t>all yeard provided</t>
  </si>
  <si>
    <t>Chicago Dedup - Header File (8th)</t>
  </si>
  <si>
    <t>share feedback on system output + dedup Master Vendor db</t>
  </si>
  <si>
    <t>Hunter / Daria</t>
  </si>
  <si>
    <t>Chicago Payment terms benchmaring - Header file (8th)</t>
  </si>
  <si>
    <t>tentative on dedup</t>
  </si>
  <si>
    <t>Client: on hold till 2025</t>
  </si>
  <si>
    <t>Translation</t>
  </si>
  <si>
    <t>Trasnslation services</t>
  </si>
  <si>
    <t>suppliers list shared</t>
  </si>
  <si>
    <t>Legal</t>
  </si>
  <si>
    <t>Legal services</t>
  </si>
  <si>
    <t>Data preparation for EY</t>
  </si>
  <si>
    <t>Source files, reports, testing</t>
  </si>
  <si>
    <t>UCI Anomalies</t>
  </si>
  <si>
    <t>UCI Deduping  v2</t>
  </si>
  <si>
    <t>Savings</t>
  </si>
  <si>
    <t>Chicago Savings</t>
  </si>
  <si>
    <t>provide simplified format 2 requested (provided 8/6/2025)</t>
  </si>
  <si>
    <t>New_match_record_number to a Chicago_2020 file</t>
  </si>
  <si>
    <t>add a New_match_record_number to the  Chicago_2020 file to complete the training dataset</t>
  </si>
  <si>
    <t>18/08</t>
  </si>
  <si>
    <t xml:space="preserve">Full header file </t>
  </si>
  <si>
    <t>provide Header file</t>
  </si>
  <si>
    <t>14/08</t>
  </si>
  <si>
    <t xml:space="preserve">Priorities Automation </t>
  </si>
  <si>
    <t xml:space="preserve">review priority rules. Call done 14/08. K shared summary 14/08. K provided dataset 18/08. Call done 18/08. 1LetterAway fixes P1.P2. Fix identical inv numbers scenario. Substitution of letters to Numbers (was implemented but needs fix). To update considering person/company supplier type. </t>
  </si>
  <si>
    <t>Semen/Kristina</t>
  </si>
  <si>
    <t>As we get more clients the lines for validation will take longer and improvement here would be high priority.</t>
  </si>
  <si>
    <t>This will be used to deliver to all clients the initial AnomalyHunt offering.</t>
  </si>
  <si>
    <t>Anomalies Chicago</t>
  </si>
  <si>
    <t xml:space="preserve">Check anomalies with identified PDFs </t>
  </si>
  <si>
    <t>checked all cases with matched pdfs</t>
  </si>
  <si>
    <t>High Priority, these will be used by the BA team to validate anomalies and are directly linked to near term revenue.</t>
  </si>
  <si>
    <t>These will confirm anomalies and will be passed on to the client AP team.</t>
  </si>
  <si>
    <t>IT categorization: UCI</t>
  </si>
  <si>
    <t>IT categorization: Rush</t>
  </si>
  <si>
    <t>UCI Dedup</t>
  </si>
  <si>
    <t>dedup feedback submitted for processing</t>
  </si>
  <si>
    <t>UCI Savings</t>
  </si>
  <si>
    <t>with format 2 output</t>
  </si>
  <si>
    <t>Delaware Savings</t>
  </si>
  <si>
    <t>Chicago IT - expanding categorization to all IT Suppliers</t>
  </si>
  <si>
    <t>requires file 1 with mapping key</t>
  </si>
  <si>
    <t>Bhagya &amp; Vineet</t>
  </si>
  <si>
    <t>Irvine IT Savings Validation</t>
  </si>
  <si>
    <t>Awaiting complete 5 years data from UCI, we expect this will be a complete re-run</t>
  </si>
  <si>
    <t>This would be to allow our consulting partner EY to assess UCI for general and specifically an IT Savings Program</t>
  </si>
  <si>
    <t>Delaware IT Savings Validation</t>
  </si>
  <si>
    <t>Client Meeting 2nd September</t>
  </si>
  <si>
    <t>This would be delivered direct to the client, insights and support.</t>
  </si>
  <si>
    <t>Price comliance - Tariffs</t>
  </si>
  <si>
    <t>Price change on PO file</t>
  </si>
  <si>
    <t>held on 9/4/2025</t>
  </si>
  <si>
    <t>Sveta/Vineet</t>
  </si>
  <si>
    <t>Yes but delayed 2 months (potentially - pushing for faster start)</t>
  </si>
  <si>
    <t>Next contracts processing</t>
  </si>
  <si>
    <t>3rd delivery - 22 contracts received (20 incremental)</t>
  </si>
  <si>
    <t>Chicago</t>
  </si>
  <si>
    <t>header file - any other output for validation?</t>
  </si>
  <si>
    <t>Delaware Rerun: incremental 2024-2025</t>
  </si>
  <si>
    <t>new data received</t>
  </si>
  <si>
    <t>Priority, expected September Start. even with potential duplicated work this is the fastest likely route to near term revenue.</t>
  </si>
  <si>
    <t>Chicago Anomalies</t>
  </si>
  <si>
    <t>Anomalies on header file</t>
  </si>
  <si>
    <t>Contract effective dates consideration</t>
  </si>
  <si>
    <t>formulate requirements based on GPO feedback. Shared 9/2/2025 in the feedback file</t>
  </si>
  <si>
    <t>This is for the calculation of admin fees to present for recovery.</t>
  </si>
  <si>
    <t>Delaware Rerun: incremental 2024</t>
  </si>
  <si>
    <t xml:space="preserve">output received- checking </t>
  </si>
  <si>
    <t>2024 check is a priority; 2025 we've checked 7 months new data</t>
  </si>
  <si>
    <t>This is to close out the historic portion of the engagement as we transition to the agreed continuous management for CC</t>
  </si>
  <si>
    <t>Delaware 2025 7 months</t>
  </si>
  <si>
    <t>check complete &gt;$1,000</t>
  </si>
  <si>
    <t>priority for BA</t>
  </si>
  <si>
    <t>Irvine SOW</t>
  </si>
  <si>
    <t>Rubrik benchmark data export (t0004);
check dates (eg Rush not provide for 2023-2025)</t>
  </si>
  <si>
    <t>email with details sent</t>
  </si>
  <si>
    <t>priority as per client need</t>
  </si>
  <si>
    <t>This is done as a proof of concept for the end client to build trust in the technology and hunterAI as a partner. It justifies data collection which then sets up additional future engagements</t>
  </si>
  <si>
    <t>Chicago Anomaly: match with PDFs model</t>
  </si>
  <si>
    <t>Review the model from Bhagya. Feedback shared</t>
  </si>
  <si>
    <t>New system output for all years all algorithms with priorities</t>
  </si>
  <si>
    <t xml:space="preserve"> incremental duplicates + add all captured reversed transactions into PowerBI reporting stats </t>
  </si>
  <si>
    <t>priority for Delaware delivery monthly, 10/15/2025</t>
  </si>
  <si>
    <t>This is to confirm maximum anomalies have been identified for recovery and revenue drive</t>
  </si>
  <si>
    <t>Across all alias names 400k. Iteration 1</t>
  </si>
  <si>
    <t>received. will share feedback in iterations</t>
  </si>
  <si>
    <t>Kristina / Hunter / Daria</t>
  </si>
  <si>
    <t>ongoing priority</t>
  </si>
  <si>
    <t>This is done to facilitate future benchmarking as we continue to bring in new clients who want this deliverable</t>
  </si>
  <si>
    <t>PO-AP lineage algorigthm (new 22 contracts)</t>
  </si>
  <si>
    <t>provide feedback. Task In progress</t>
  </si>
  <si>
    <t>priority as per project need</t>
  </si>
  <si>
    <t xml:space="preserve">This is to help drive the admin fee program, identifying and recovering underpaid money to CC as the end client </t>
  </si>
  <si>
    <t>Investegate the problem with the New Match Record Number</t>
  </si>
  <si>
    <t>Review the feedback: case 1 and case are accepted, case 2 requires investigation https://gpohealthcom.sharepoint.com/sites/BusinessAnalytics/_layouts/15/doc.aspx?sourcedoc={adc221fb-9f95-4ad2-a249-487443a12801}&amp;action=edit</t>
  </si>
  <si>
    <t>Not a priority</t>
  </si>
  <si>
    <t>Fix the Imact Flag and Confirmed Spend colums</t>
  </si>
  <si>
    <t>new execution received - K to review. Review the feedback https://gpohealthcom.sharepoint.com/:w:/r/sites/BusinessAnalytics/_layouts/15/Doc.aspx?CID=06975a12-ad8e-d024-0e03-3cfe4cab2f14&amp;sourcedoc=%7BFE9730F4-D1BF-43CE-B39A-E861AC011E95%7D&amp;file=Delaware%20anomaly%207%20months%202025%20feedback.docx&amp;action=default&amp;mobileredirect=true</t>
  </si>
  <si>
    <t>Implement the new reqirment for the Reversal flag</t>
  </si>
  <si>
    <t>Incorporated in the latest file - to review. Review the feedback https://gpohealthcom.sharepoint.com/sites/BusinessAnalytics/_layouts/15/doc.aspx?sourcedoc={7508dede-92db-43d9-9079-520c06b4acf5}&amp;action=edit</t>
  </si>
  <si>
    <t>Dashboard</t>
  </si>
  <si>
    <t>Demo</t>
  </si>
  <si>
    <t>WCI and IT demo dashboards ' reconnect to demo from prod db and upload</t>
  </si>
  <si>
    <t>provided; Sveta to test</t>
  </si>
  <si>
    <t>Optimization of system output file (ideally before next big anomalies processing - eg Tampa)</t>
  </si>
  <si>
    <t>File to be resent. ~ approximately 1 hour of setup 
verification comlicated due to constant scroll back and forth</t>
  </si>
  <si>
    <t>UCI</t>
  </si>
  <si>
    <t>2021-2025 UCI vendors feedback (vs 400k)</t>
  </si>
  <si>
    <t>Delivery 5 processing</t>
  </si>
  <si>
    <t>new 20 contracts. 19 contracts provided</t>
  </si>
  <si>
    <t>Web Portal</t>
  </si>
  <si>
    <t>Automation Testing</t>
  </si>
  <si>
    <t>Rohit / Hunter / Daria</t>
  </si>
  <si>
    <t>Anomalies 2021 Orange Facility</t>
  </si>
  <si>
    <t>share feedback</t>
  </si>
  <si>
    <t>not a priority - new data with check numbers + years received</t>
  </si>
  <si>
    <t>AI Questionaire for CCHS</t>
  </si>
  <si>
    <t>Submited?</t>
  </si>
  <si>
    <t>Hunter/Rohit</t>
  </si>
  <si>
    <t xml:space="preserve">For the updated contracting process some of the CCHS stakeholders are pushing </t>
  </si>
  <si>
    <t>Across</t>
  </si>
  <si>
    <t>Output structure</t>
  </si>
  <si>
    <t>Can keep only new match record number</t>
  </si>
  <si>
    <t>Across all years</t>
  </si>
  <si>
    <t>system output</t>
  </si>
  <si>
    <t>feedback submited</t>
  </si>
  <si>
    <t>This is to maximise the identified opportunity as we look to close business with UCI directly and with EY</t>
  </si>
  <si>
    <t>Across all years - possible?</t>
  </si>
  <si>
    <t>payments terms not available</t>
  </si>
  <si>
    <t>Categorization</t>
  </si>
  <si>
    <t>IT suppliers for Delaware + Rush + UCI orange</t>
  </si>
  <si>
    <t>At a class level (or at least segment)</t>
  </si>
  <si>
    <t>Across all alias names 400k</t>
  </si>
  <si>
    <t>Implementation of the DB - deadline?</t>
  </si>
  <si>
    <t xml:space="preserve">Vineet/Bhagya </t>
  </si>
  <si>
    <t>This is needed for the working capital offerings which are going to be positioned shortly. Prioritisation here would be good from the business side.</t>
  </si>
  <si>
    <t>Delaware</t>
  </si>
  <si>
    <t>Rebates, Admin fees</t>
  </si>
  <si>
    <t>Update views for category managers</t>
  </si>
  <si>
    <t>categorization for UCI presented 10/22/25 - 356 suppliers with Pharma spend shared for review</t>
  </si>
  <si>
    <t>After task 127</t>
  </si>
  <si>
    <t>The aim is to continue improving the dashboard visuals in accordance to Client requests and insights, improving the overall offering</t>
  </si>
  <si>
    <t>Typical duplicates are not captured by the system output</t>
  </si>
  <si>
    <t>check why it happens (same check numbers not considered?) -- fixed in the latest executions</t>
  </si>
  <si>
    <t>Portal</t>
  </si>
  <si>
    <t>Loading page - log in step</t>
  </si>
  <si>
    <t>add "Loading may take up to 10 mins"</t>
  </si>
  <si>
    <t>Rohit</t>
  </si>
  <si>
    <t>Admin Fees</t>
  </si>
  <si>
    <t>Delivery 8 - request</t>
  </si>
  <si>
    <t>share new set of contracts for processing</t>
  </si>
  <si>
    <t>Admin fees</t>
  </si>
  <si>
    <t>Portal set up for Premier</t>
  </si>
  <si>
    <t>for weekly delivery  - new customer ID needed</t>
  </si>
  <si>
    <t>Database loading message</t>
  </si>
  <si>
    <t>After login, "0" in Dashboard section instead of report buttons . Completed; test of message disappearing done</t>
  </si>
  <si>
    <t>Test vendor approach (level 1, level 2, level 3)</t>
  </si>
  <si>
    <t xml:space="preserve">Bhagya </t>
  </si>
  <si>
    <t>We will be positioning this in 2026 to more clients and by Jan we will want to have these ready to deliver</t>
  </si>
  <si>
    <t>Level 1,2 are completed, level 3 in progress</t>
  </si>
  <si>
    <t>2021-22 AP spend estimation for PP-NS-1445</t>
  </si>
  <si>
    <t>based on MPNs and descriptions in PO 2023-25. Confirm with D</t>
  </si>
  <si>
    <t>Algos and Fuzzy historical</t>
  </si>
  <si>
    <t>to review. Sveta shared manual cases to check why not captured</t>
  </si>
  <si>
    <t>Kristina / Daria</t>
  </si>
  <si>
    <t>Client Upload Notifiction</t>
  </si>
  <si>
    <t>To not miss anything - clients do not always notify</t>
  </si>
  <si>
    <t>Vendor dedup aug-sep 2025</t>
  </si>
  <si>
    <t>Proceed 2 months</t>
  </si>
  <si>
    <t>Vendor dedup aug-oct 2025</t>
  </si>
  <si>
    <t>Add  3 months to the library and provide feedback</t>
  </si>
  <si>
    <t>Admin Fee/Price variation</t>
  </si>
  <si>
    <t>Item library</t>
  </si>
  <si>
    <r>
      <rPr>
        <sz val="11"/>
        <color rgb="FF2E2E2E"/>
        <rFont val="Arial"/>
        <scheme val="minor"/>
      </rPr>
      <t xml:space="preserve">Create item library with MPN, description and contracts for mapping AP and PO data -- BA team shared the suggested structure. To be shared by Vineet? </t>
    </r>
    <r>
      <rPr>
        <sz val="11"/>
        <color rgb="FFFF0000"/>
        <rFont val="Arial"/>
        <scheme val="minor"/>
      </rPr>
      <t>Apply feedback</t>
    </r>
  </si>
  <si>
    <t>after contract library review</t>
  </si>
  <si>
    <t>Algo and fuzzy output with Oct data</t>
  </si>
  <si>
    <t>Files in Input - review</t>
  </si>
  <si>
    <t>Reversals matched with duplicates</t>
  </si>
  <si>
    <t>Review: Create item library with MPN, description and contracts for mapping AP and PO data -- BA team shared the suggested structure. To be shared by Vineet?</t>
  </si>
  <si>
    <t xml:space="preserve">Explore Item Master </t>
  </si>
  <si>
    <t>Daria / Hunter</t>
  </si>
  <si>
    <t>Top Services</t>
  </si>
  <si>
    <t>Exploratory Data Request</t>
  </si>
  <si>
    <t>Select the sample invoices from the target vendors and confirm alignment with CCHS Owner (Rich)</t>
  </si>
  <si>
    <t>Import to check the attributes of the services and establish the total data request for the program that will transition to OCR.</t>
  </si>
  <si>
    <t>Internal</t>
  </si>
  <si>
    <t>File Clean Up</t>
  </si>
  <si>
    <r>
      <rPr>
        <sz val="11"/>
        <color rgb="FF2E2E2E"/>
        <rFont val="Arial"/>
      </rPr>
      <t xml:space="preserve">Clean up input folders and change the report source files.Ascertain which files can be kept within the hunterAI data storage policy. Communicate with Rohit the outcome. </t>
    </r>
    <r>
      <rPr>
        <sz val="11"/>
        <color rgb="FFFF0000"/>
        <rFont val="Arial"/>
      </rPr>
      <t>Check sharepoint, aws</t>
    </r>
  </si>
  <si>
    <t>Kristina / Daria / Hunter</t>
  </si>
  <si>
    <t>UNSPSC mapping on client data</t>
  </si>
  <si>
    <t>Requires feedback on the accuracy of the spend categorization, to then be applied as slicers for Top Services. Updated file received</t>
  </si>
  <si>
    <t>By deadline to have a sense check of the top areas of categorization</t>
  </si>
  <si>
    <t>AWS Transfers</t>
  </si>
  <si>
    <t>Secure File Transfer</t>
  </si>
  <si>
    <t>We need timeline for the transfers, we have work dependant on multiple transfers.</t>
  </si>
  <si>
    <t>High Priority, please give us a timeline and asap transfer for our requests</t>
  </si>
  <si>
    <t>Line item description duplication</t>
  </si>
  <si>
    <t>$500k in services duplication to check themselves, and whether they have already been delivered to Client</t>
  </si>
  <si>
    <t>Medium Priority</t>
  </si>
  <si>
    <t>Contract Master</t>
  </si>
  <si>
    <t>Algorithms review</t>
  </si>
  <si>
    <t>feedback implemented</t>
  </si>
  <si>
    <t>Book Meetin12th Dec</t>
  </si>
  <si>
    <t>v2 library shared</t>
  </si>
  <si>
    <t>Provide Feedback for v2</t>
  </si>
  <si>
    <t>Check new output provided -- all feedback implemented?</t>
  </si>
  <si>
    <t>Reversal flag</t>
  </si>
  <si>
    <t>feedback implementation. Case 1</t>
  </si>
  <si>
    <t>Meeting booked, Vineet Ownership</t>
  </si>
  <si>
    <t>Provide additional feedback</t>
  </si>
  <si>
    <t>PDFs received/Additional Chicago OCR</t>
  </si>
  <si>
    <r>
      <rPr>
        <sz val="11"/>
        <color rgb="FF00B050"/>
        <rFont val="Arial"/>
      </rPr>
      <t>Staffing  provided 1/22. F&amp;b</t>
    </r>
    <r>
      <rPr>
        <sz val="11"/>
        <color rgb="FF2E2E2E"/>
        <rFont val="Arial"/>
      </rPr>
      <t>, legal, consulting - next feedback iteration</t>
    </r>
  </si>
  <si>
    <t>Hunter/Daria</t>
  </si>
  <si>
    <t>Header File reviewed. Detailed File in Progress</t>
  </si>
  <si>
    <t>PDFs received</t>
  </si>
  <si>
    <t xml:space="preserve">to explore </t>
  </si>
  <si>
    <t>File provided to Bhagya for review</t>
  </si>
  <si>
    <t xml:space="preserve">Reversals </t>
  </si>
  <si>
    <t>During the investigation of reversals, it was found that we can currently map only 9M of negative spend to positive transactions out of 223M. Expecting the file from Vineet on 12/4/2025</t>
  </si>
  <si>
    <t>Kristina/Vineet</t>
  </si>
  <si>
    <t>oustanding 80M? Further questions to ask of client (Desiree)</t>
  </si>
  <si>
    <t>All</t>
  </si>
  <si>
    <t>AI Security Questions</t>
  </si>
  <si>
    <t>Need scheduling confirmation from the Dev team on if we can make the meeting slots work.</t>
  </si>
  <si>
    <t>Hunter/Doc/Rohit</t>
  </si>
  <si>
    <t>High Priority to get this booked, it's holding up contracting</t>
  </si>
  <si>
    <t>Anomalies algoritm</t>
  </si>
  <si>
    <t>Schedule a meeting to discuss model for catching simmiliar to aproved invoices</t>
  </si>
  <si>
    <t>Kristina/Semen</t>
  </si>
  <si>
    <t>Update from Bhagya</t>
  </si>
  <si>
    <t>Staffing iteration 2 OCR -- to review</t>
  </si>
  <si>
    <t>CCHS Invoices OCR</t>
  </si>
  <si>
    <t>Staffing iteration 3 OCR -- implement critical changes, priority now. Proceeding new client data</t>
  </si>
  <si>
    <t>Amergis 2/27/26</t>
  </si>
  <si>
    <t>Data is expected soon</t>
  </si>
  <si>
    <t xml:space="preserve">Staffing iteration 3 OCR -- implement critical changes, priority now. Amergis feedback has been given, BA team awaiting feedback on CHG and Weatherby to be received
 </t>
  </si>
  <si>
    <t>BA team</t>
  </si>
  <si>
    <t>Republic waste 3/5/2026. CHG, weatherby 3/12/2026</t>
  </si>
  <si>
    <t>Discuss the possibility of involving the dev team in the deduplication review.</t>
  </si>
  <si>
    <r>
      <rPr>
        <sz val="11"/>
        <color rgb="FF2E2E2E"/>
        <rFont val="Arial"/>
        <scheme val="minor"/>
      </rPr>
      <t xml:space="preserve">Deduplication review: 2000 rows. </t>
    </r>
    <r>
      <rPr>
        <sz val="11"/>
        <color rgb="FF00B050"/>
        <rFont val="Arial"/>
        <scheme val="minor"/>
      </rPr>
      <t>This interation is completed from BA side</t>
    </r>
  </si>
  <si>
    <t>Kristina/Dev team</t>
  </si>
  <si>
    <t>Can we have Dev team assistance?</t>
  </si>
  <si>
    <t>Portal Formatting</t>
  </si>
  <si>
    <t>When uploading the report to the portal, formatting issues occur.</t>
  </si>
  <si>
    <t>Kristina / Babu</t>
  </si>
  <si>
    <t xml:space="preserve">Problem from PBI </t>
  </si>
  <si>
    <t>Check Delaware</t>
  </si>
  <si>
    <t>Daria / Kristina</t>
  </si>
  <si>
    <t xml:space="preserve">Implement the feedback </t>
  </si>
  <si>
    <t>Dev team</t>
  </si>
  <si>
    <t>TBC</t>
  </si>
  <si>
    <t xml:space="preserve">Check the feedback  Implementation </t>
  </si>
  <si>
    <r>
      <rPr>
        <sz val="11"/>
        <color rgb="FF2E2E2E"/>
        <rFont val="Arial"/>
        <scheme val="minor"/>
      </rPr>
      <t xml:space="preserve">Requires feedback on the accuracy of the spend categorization, to then be applied as slicers for Top Services. Updated file received. To have a call with Bhagya. </t>
    </r>
    <r>
      <rPr>
        <sz val="11"/>
        <color rgb="FF00B050"/>
        <rFont val="Arial"/>
        <scheme val="minor"/>
      </rPr>
      <t>Dev team will check and share the results with BA team</t>
    </r>
  </si>
  <si>
    <t>Dev Team Split</t>
  </si>
  <si>
    <t>Provide feedback/Categorization. Feedback provided - to schedule a call</t>
  </si>
  <si>
    <t>Portal testing</t>
  </si>
  <si>
    <t>BA team tested and provided feedback 1/14/2025</t>
  </si>
  <si>
    <t>Umass</t>
  </si>
  <si>
    <t>Product Categorization</t>
  </si>
  <si>
    <t xml:space="preserve">Implement the feedback, start iteration 2. </t>
  </si>
  <si>
    <t>On hold</t>
  </si>
  <si>
    <r>
      <rPr>
        <sz val="11"/>
        <color rgb="FF2E2E2E"/>
        <rFont val="Arial"/>
        <scheme val="minor"/>
      </rPr>
      <t>Implement the feedback.</t>
    </r>
    <r>
      <rPr>
        <sz val="11"/>
        <color rgb="FFFF0000"/>
        <rFont val="Arial"/>
        <scheme val="minor"/>
      </rPr>
      <t xml:space="preserve">  For SAML requires </t>
    </r>
    <r>
      <rPr>
        <sz val="11"/>
        <color rgb="FF2E2E2E"/>
        <rFont val="Arial"/>
        <scheme val="minor"/>
      </rPr>
      <t>several actions from the client side - Rohit will provide an update</t>
    </r>
  </si>
  <si>
    <t>Critical Fields</t>
  </si>
  <si>
    <t>BA team shared critical fields from documents -- to review if they can be OCRed</t>
  </si>
  <si>
    <t>Filtration Model</t>
  </si>
  <si>
    <t>shows similar cases to what was confirmed -- Share output</t>
  </si>
  <si>
    <t xml:space="preserve">Competition data pull (requested by S) </t>
  </si>
  <si>
    <t>completed 1/15/2025 - both parts</t>
  </si>
  <si>
    <t>Initial Feedback provided</t>
  </si>
  <si>
    <t>December data</t>
  </si>
  <si>
    <t>UMASS</t>
  </si>
  <si>
    <t>Data categorization UMASS</t>
  </si>
  <si>
    <r>
      <rPr>
        <sz val="11"/>
        <color rgb="FF2E2E2E"/>
        <rFont val="Arial"/>
      </rPr>
      <t>all source fields + categorization is requiered.</t>
    </r>
    <r>
      <rPr>
        <sz val="11"/>
        <color rgb="FFFF0000"/>
        <rFont val="Arial"/>
      </rPr>
      <t xml:space="preserve"> IT is provided</t>
    </r>
  </si>
  <si>
    <t>New module</t>
  </si>
  <si>
    <t>To be further defined by B team. Dashboard: new vendors in anomalies - associated spend; commodity it fits in; product purchased; alternative suppliers they could have used instead of recreating new vendor. Month upon month</t>
  </si>
  <si>
    <r>
      <rPr>
        <sz val="11"/>
        <color rgb="FF2E2E2E"/>
        <rFont val="Arial"/>
        <scheme val="minor"/>
      </rPr>
      <t xml:space="preserve">clients believe that they add a new vendor as they can't source from an existing. Active vs non-active suppliers. 12 months active; 18 months non-active vendors. </t>
    </r>
    <r>
      <rPr>
        <sz val="11"/>
        <color rgb="FFFF0000"/>
        <rFont val="Arial"/>
        <scheme val="minor"/>
      </rPr>
      <t>Clarifications are needed</t>
    </r>
  </si>
  <si>
    <t>Vineet / Kristina</t>
  </si>
  <si>
    <t>View on the processing time: development + BA</t>
  </si>
  <si>
    <r>
      <rPr>
        <sz val="11"/>
        <color rgb="FF2E2E2E"/>
        <rFont val="Arial"/>
      </rPr>
      <t>as of now: 2 days processing. received from the client ---&gt; published to client.</t>
    </r>
    <r>
      <rPr>
        <sz val="11"/>
        <color rgb="FFFF0000"/>
        <rFont val="Arial"/>
      </rPr>
      <t xml:space="preserve"> Upload times input required to complete </t>
    </r>
    <r>
      <rPr>
        <sz val="11"/>
        <color rgb="FF000000"/>
        <rFont val="Arial"/>
      </rPr>
      <t>(email sent on thursday)</t>
    </r>
  </si>
  <si>
    <t>Rohit/ Babu</t>
  </si>
  <si>
    <t xml:space="preserve">Completed </t>
  </si>
  <si>
    <t>Validation</t>
  </si>
  <si>
    <t>Iteration 1 in checked</t>
  </si>
  <si>
    <t>Vendor Categorization</t>
  </si>
  <si>
    <r>
      <rPr>
        <sz val="11"/>
        <color rgb="FF2E2E2E"/>
        <rFont val="Arial"/>
        <scheme val="minor"/>
      </rPr>
      <t xml:space="preserve">Pilot the new metodology and share the date for 10 suppliers. Feedback shared, expecting the output. First step output is important for </t>
    </r>
    <r>
      <rPr>
        <sz val="11"/>
        <color rgb="FF00B050"/>
        <rFont val="Arial"/>
        <scheme val="minor"/>
      </rPr>
      <t>Primary offering !</t>
    </r>
  </si>
  <si>
    <t>Not completed</t>
  </si>
  <si>
    <t>After dedup agent. Now categorization based only on UNSPSC</t>
  </si>
  <si>
    <t>Delaware/Chicago</t>
  </si>
  <si>
    <t>Reprocessing the full Anomalies datasets</t>
  </si>
  <si>
    <t xml:space="preserve">After anomalies developments implementation </t>
  </si>
  <si>
    <t xml:space="preserve">Delaware Completed, Chicago WIP 2/27/2026 header completed, Chicaho detail -received 12/3 </t>
  </si>
  <si>
    <t>https://gpohealthcom.sharepoint.com/:w:/r/sites/BusinessAnalytics/_layouts/15/Doc.aspx?sourcedoc=%7BEE408316-AFBC-462E-AFCC-5AEC0D290D15%7D&amp;file=Anomaly_dev_feedback.docx&amp;action=default&amp;mobileredirect=true</t>
  </si>
  <si>
    <t>Line level gap in flags was identified. 03-30-26 received updated fixed file from Vineet - Anastasia to check</t>
  </si>
  <si>
    <t>Anastasia</t>
  </si>
  <si>
    <t>Any availability for booking a call with Vineet about the anomaly feedback</t>
  </si>
  <si>
    <t>Filtration Model - setup weekly update</t>
  </si>
  <si>
    <t>Provide description to the model</t>
  </si>
  <si>
    <t>Kristina / Semen</t>
  </si>
  <si>
    <t>SLA for uploads</t>
  </si>
  <si>
    <t>a few files pending for a long time (copy to BA input), notify for Rohit's days off (send a meeting invite to us for a day so we have visibility?)</t>
  </si>
  <si>
    <t>examples for agent development</t>
  </si>
  <si>
    <t>Maverick spend</t>
  </si>
  <si>
    <t>Feedback on Vineet's specification</t>
  </si>
  <si>
    <t>Sveta/Daria</t>
  </si>
  <si>
    <t>no notification on Chicago feedback file upload</t>
  </si>
  <si>
    <t>Check portal Uploads section functionality</t>
  </si>
  <si>
    <t xml:space="preserve">Portal </t>
  </si>
  <si>
    <t>Portal login waiting time -- change to 5 mins. Chicago portal issues</t>
  </si>
  <si>
    <t>Requesr from the client</t>
  </si>
  <si>
    <t>We checked the portal, all good 2/19/2026</t>
  </si>
  <si>
    <t>Creation of Incoming Client Account</t>
  </si>
  <si>
    <r>
      <t>assign </t>
    </r>
    <r>
      <rPr>
        <u/>
        <sz val="11"/>
        <color rgb="FF000000"/>
        <rFont val="Aptos"/>
        <charset val="1"/>
      </rPr>
      <t>Client Name:"UMass Memorial Health"</t>
    </r>
    <r>
      <rPr>
        <sz val="11"/>
        <color rgb="FF000000"/>
        <rFont val="Aptos"/>
        <charset val="1"/>
      </rPr>
      <t> AKA "Boston" a client number, and create a new data environment</t>
    </r>
  </si>
  <si>
    <t>UMASS Data is expected soon</t>
  </si>
  <si>
    <t>Portal: how to adjust to be used without Excel for client inputs. Requires input for Y/N; notes; files upload</t>
  </si>
  <si>
    <t>Call 3/5/2026</t>
  </si>
  <si>
    <t>Amit</t>
  </si>
  <si>
    <r>
      <rPr>
        <sz val="11"/>
        <color rgb="FF000000"/>
        <rFont val="Aptos"/>
      </rPr>
      <t>Give confirmation for the user name. assign </t>
    </r>
    <r>
      <rPr>
        <u/>
        <sz val="11"/>
        <color rgb="FF000000"/>
        <rFont val="Aptos"/>
      </rPr>
      <t>Client Name:"UMass Memorial Health"</t>
    </r>
    <r>
      <rPr>
        <sz val="11"/>
        <color rgb="FF000000"/>
        <rFont val="Aptos"/>
      </rPr>
      <t> AKA "Boston" a client number, and create a new data environment</t>
    </r>
  </si>
  <si>
    <t>UMASS Data is expected soon. Customer numbers? We are still expecting client emailsUMASS 6681 (t0008). Catholic health 6682</t>
  </si>
  <si>
    <t>Emails were requested</t>
  </si>
  <si>
    <t>Technical qustion -- to send the answer</t>
  </si>
  <si>
    <t>Doc / Rohit</t>
  </si>
  <si>
    <t>GPO Admin Fees</t>
  </si>
  <si>
    <t>2021-22 Gap Estimation</t>
  </si>
  <si>
    <t>Process 4 contracts with the full AP 2021-24 data</t>
  </si>
  <si>
    <t>Data check Jan26</t>
  </si>
  <si>
    <t>Review the data</t>
  </si>
  <si>
    <t>Dedup Jan</t>
  </si>
  <si>
    <t>Provide new Dedup part</t>
  </si>
  <si>
    <t xml:space="preserve">Dedup across new alieses </t>
  </si>
  <si>
    <t>Root cause the issue. Feedback discussion</t>
  </si>
  <si>
    <t>after task 164</t>
  </si>
  <si>
    <t>Change a process?On hold</t>
  </si>
  <si>
    <t>Price Variation/ GPO Admin Fees</t>
  </si>
  <si>
    <t>Assign MPNs to descriptions in AP</t>
  </si>
  <si>
    <t>after completion of Item Master development we will need MPNs to be assigned to AP. 2023-2026.
Vineet has completed for 300 contracts - based on PO; Novus Item Master &amp; Price File - Iteration 1
Iteration 2 - with no contract</t>
  </si>
  <si>
    <t>WIP</t>
  </si>
  <si>
    <t>Manual last 18 months check</t>
  </si>
  <si>
    <t>Issue with blank invoices identified, one simple case missing in system output (same number + "ADJ") identified. reviewed till 5k</t>
  </si>
  <si>
    <t>PowerBi reports adjustment</t>
  </si>
  <si>
    <t>Replace Card (new) visuals too avoid manual fixes</t>
  </si>
  <si>
    <t>Portal adjustments</t>
  </si>
  <si>
    <t>Idle time -- 30 mins , refresh view</t>
  </si>
  <si>
    <t xml:space="preserve">Extended to 60 min </t>
  </si>
  <si>
    <t>Repubic Services</t>
  </si>
  <si>
    <t>Complete Contract identification and extraction, and invoice line item assessment - provide to Bhagya</t>
  </si>
  <si>
    <t>Sveta/Hunter</t>
  </si>
  <si>
    <t>OCR Queue Transparency</t>
  </si>
  <si>
    <t>There is P1 Republic Services, where do the CHG, Weatherby, Allergan Invoice PDFs sit in this?</t>
  </si>
  <si>
    <t>Doc / Bhagya</t>
  </si>
  <si>
    <t>The timeline of one vendor processed per week has been given, they are being processed in the same order as listed in the Main Arrangements Cell</t>
  </si>
  <si>
    <t>GPO admin Fee / Price Variance</t>
  </si>
  <si>
    <r>
      <rPr>
        <sz val="11"/>
        <color rgb="FF2E2E2E"/>
        <rFont val="Arial"/>
      </rPr>
      <t xml:space="preserve">Allergan to be set as a priority - for GPO adin fee estimation and Price Variance.
Allergen - closed. </t>
    </r>
    <r>
      <rPr>
        <sz val="11"/>
        <color rgb="FFDC253C"/>
        <rFont val="Arial"/>
      </rPr>
      <t>Weatherby &amp; CHG requires rework - critical issues identified, feedback sent 3-27. Add timelines, readjust priorities</t>
    </r>
  </si>
  <si>
    <r>
      <rPr>
        <sz val="11"/>
        <color rgb="FF2E2E2E"/>
        <rFont val="Arial"/>
      </rPr>
      <t xml:space="preserve">Allergen - Babu; </t>
    </r>
    <r>
      <rPr>
        <sz val="11"/>
        <color rgb="FFDC253C"/>
        <rFont val="Arial"/>
      </rPr>
      <t>Weatherby &amp; CHG - Babu</t>
    </r>
  </si>
  <si>
    <t xml:space="preserve">Feb data </t>
  </si>
  <si>
    <t>Proceed Feb data - by week of the 9th</t>
  </si>
  <si>
    <t>Data</t>
  </si>
  <si>
    <t xml:space="preserve">Data Retention </t>
  </si>
  <si>
    <t>Client Data retention period - can extend above 2 weeks during the active data receipt/engagement period?</t>
  </si>
  <si>
    <t>keep the current process for now</t>
  </si>
  <si>
    <t>Flags logic</t>
  </si>
  <si>
    <t>Vineet to validate flags logic -- to align between Dev and BA team. Reversal Flag - Done:  https://gpohealthcom.sharepoint.com/:w:/s/BusinessAnalytics/IQAvn2xG2ovPT62cAi2bQF4kAQ5ZGEQ_GMdUnD5yKxPnjEM?e=FpUa0C</t>
  </si>
  <si>
    <t>lower priority as we do not expect UMASS anomalis output</t>
  </si>
  <si>
    <t>Inmar</t>
  </si>
  <si>
    <t xml:space="preserve">Creation of new client Sandbox -- for Inmar Intelligence </t>
  </si>
  <si>
    <t>5/3/2026 - submitted, start date</t>
  </si>
  <si>
    <t>AWS clean up</t>
  </si>
  <si>
    <r>
      <rPr>
        <sz val="11"/>
        <color rgb="FF2E2E2E"/>
        <rFont val="Arial"/>
      </rPr>
      <t>clean up unused / processed data files (80GB now).</t>
    </r>
    <r>
      <rPr>
        <sz val="11"/>
        <color rgb="FF000000"/>
        <rFont val="Arial"/>
      </rPr>
      <t xml:space="preserve"> Review of big folders in progress. Meeting on 4/9, must be completed by then. 40GB cleaned as of 4/8.</t>
    </r>
    <r>
      <rPr>
        <sz val="11"/>
        <color rgb="FFDC253C"/>
        <rFont val="Arial"/>
      </rPr>
      <t xml:space="preserve"> Iteration 1 closed.  Request to clean duplicative files</t>
    </r>
  </si>
  <si>
    <t>Vendor dedup</t>
  </si>
  <si>
    <t>processing with agentic framework</t>
  </si>
  <si>
    <t>Bhagya, Vineet</t>
  </si>
  <si>
    <t>Feedback: Allergan, CHG, Weaterby</t>
  </si>
  <si>
    <t>GPO Admin Fee</t>
  </si>
  <si>
    <t>4 contracts processed for 2021-24</t>
  </si>
  <si>
    <t>AP side estimation missing  big supplier . Vineet to rerun and see is the issue persists</t>
  </si>
  <si>
    <t>teams  2/26</t>
  </si>
  <si>
    <r>
      <rPr>
        <sz val="11"/>
        <color rgb="FFDC253C"/>
        <rFont val="Arial"/>
        <scheme val="minor"/>
      </rPr>
      <t>Admin Fee is a Priority</t>
    </r>
    <r>
      <rPr>
        <sz val="11"/>
        <color rgb="FF2E2E2E"/>
        <rFont val="Arial"/>
        <scheme val="minor"/>
      </rPr>
      <t xml:space="preserve"> after UMASS, Inmar and Delaware anomalies</t>
    </r>
  </si>
  <si>
    <t>Valify stats</t>
  </si>
  <si>
    <t>PowerBI IT db report</t>
  </si>
  <si>
    <r>
      <rPr>
        <sz val="11"/>
        <color rgb="FF2E2E2E"/>
        <rFont val="Arial"/>
        <scheme val="minor"/>
      </rPr>
      <t xml:space="preserve">demo report; prod report - check why savings across systems is smaller than within system. Also product attributes appears to be incomplete. Still see issues as of 4/8. </t>
    </r>
    <r>
      <rPr>
        <sz val="11"/>
        <color rgb="FFDC253C"/>
        <rFont val="Arial"/>
        <scheme val="minor"/>
      </rPr>
      <t>Sсhedule  a call to locate the files</t>
    </r>
  </si>
  <si>
    <t>Babu, Vineet // Daria, Sveta</t>
  </si>
  <si>
    <t>low priority, but required for demo</t>
  </si>
  <si>
    <t>Babu to check the version of report and confirm numbers on the landing page</t>
  </si>
  <si>
    <t>PP-OR-2155 Allergan estimation</t>
  </si>
  <si>
    <t>augment with OCR data, observations shared.  GPO Admin Fees: PP-OR-2155 Refined Estimation with OCR Input: Rerun estimation using OCR instead of AP Side. confirm the timeline next week</t>
  </si>
  <si>
    <t xml:space="preserve">Additional Opportunities </t>
  </si>
  <si>
    <t>2023-26 full AP data request</t>
  </si>
  <si>
    <t>with all source fileds + hAI categorazation if possible. Email with details/ request shared 2/26/26. For BA team to explore potential opportunities</t>
  </si>
  <si>
    <t>low priority</t>
  </si>
  <si>
    <t>6 fields requirement provided</t>
  </si>
  <si>
    <t>Line-level file - payment status check; void and cancel flags. BA's checking</t>
  </si>
  <si>
    <t>Boston</t>
  </si>
  <si>
    <t>File copying : Umass data to BA input</t>
  </si>
  <si>
    <t>Access for AP team</t>
  </si>
  <si>
    <t>Response to client on anomaly algorithms</t>
  </si>
  <si>
    <t>Cancelled</t>
  </si>
  <si>
    <t>received - requested to add spend</t>
  </si>
  <si>
    <t>BA team to provide feedback April 2nd</t>
  </si>
  <si>
    <t>IT Supplier flagging</t>
  </si>
  <si>
    <t>wip --see around 123 new IT suppliers. line level check is being done</t>
  </si>
  <si>
    <t>Sveta, Anastasia</t>
  </si>
  <si>
    <r>
      <rPr>
        <sz val="11"/>
        <color rgb="FF2E2E2E"/>
        <rFont val="Arial"/>
      </rPr>
      <t>anomalies, processed AP file with seq_no, dedup(received). Data refinement in progress.</t>
    </r>
    <r>
      <rPr>
        <sz val="11"/>
        <color rgb="FFDC253C"/>
        <rFont val="Arial"/>
      </rPr>
      <t xml:space="preserve"> </t>
    </r>
    <r>
      <rPr>
        <sz val="11"/>
        <color rgb="FF000000"/>
        <rFont val="Arial"/>
      </rPr>
      <t xml:space="preserve">Provide  Supplier Error cases using deduping -- same date, descriptions, different initial names, same amount. </t>
    </r>
    <r>
      <rPr>
        <sz val="11"/>
        <color rgb="FFDC253C"/>
        <rFont val="Arial"/>
      </rPr>
      <t>Provide if processed (call 4/16)</t>
    </r>
  </si>
  <si>
    <t>provide input on anomaly agent</t>
  </si>
  <si>
    <t>Sveta, Daria</t>
  </si>
  <si>
    <t>Broad item categorization, segment level</t>
  </si>
  <si>
    <t>DPO</t>
  </si>
  <si>
    <t>Vineet to look into PT availability data</t>
  </si>
  <si>
    <r>
      <rPr>
        <sz val="11"/>
        <color rgb="FF2E2E2E"/>
        <rFont val="Arial"/>
      </rPr>
      <t>IT Categorization output in db. (received -- BA to provide feedback) +</t>
    </r>
    <r>
      <rPr>
        <sz val="11"/>
        <color rgb="FFDC253C"/>
        <rFont val="Arial"/>
      </rPr>
      <t xml:space="preserve"> files 1 (wip, to be shared 4/15?) and 2 (to be shared 4/14) not received</t>
    </r>
  </si>
  <si>
    <t>Inmar Intelligence</t>
  </si>
  <si>
    <t xml:space="preserve">Dedup + Anomalies Output  (first 2025 data, then other years, categorization is on hold now) </t>
  </si>
  <si>
    <t>same as UMASS</t>
  </si>
  <si>
    <t>will be processed after UMASS. 32k suppliers ! Dedup by early next week?</t>
  </si>
  <si>
    <t>portal - add report name in the tab, open all reports in new tabs. To connect with powerbi team</t>
  </si>
  <si>
    <t>WCI benchmarks to be provided</t>
  </si>
  <si>
    <t>Item-Segment feedback. Checked - minor issues, no feedback</t>
  </si>
  <si>
    <t>sense-check</t>
  </si>
  <si>
    <t>March Anomalies</t>
  </si>
  <si>
    <t>process March anomalies (full AP, anomalies, dedup)</t>
  </si>
  <si>
    <t>WCI benchmarks</t>
  </si>
  <si>
    <t>Input expected 4/20, BA to review and provide benchmarks</t>
  </si>
  <si>
    <t>2025 anomalies output - provide feedback</t>
  </si>
  <si>
    <t>vendor Dedupe - provide feedback</t>
  </si>
  <si>
    <t>Provide feedback and delivery selection</t>
  </si>
  <si>
    <t>Policy</t>
  </si>
  <si>
    <t>ISO policy communication, meet with Hunter &amp; Sveta</t>
  </si>
  <si>
    <t>Vendor Dedupe</t>
  </si>
  <si>
    <t xml:space="preserve">Share dedupe Oct 2025 - now. </t>
  </si>
  <si>
    <t>Output file</t>
  </si>
  <si>
    <t>Model</t>
  </si>
  <si>
    <t>Feedback Link</t>
  </si>
  <si>
    <t>Registration date</t>
  </si>
  <si>
    <t>2025_all_algo_anomaly_delaware_data_1</t>
  </si>
  <si>
    <t>Reversal Flag</t>
  </si>
  <si>
    <t>Propogate the flag for the entire match (currently sometimes differet values inside a match)</t>
  </si>
  <si>
    <t>Reversal flag.docx</t>
  </si>
  <si>
    <t>Future improvements</t>
  </si>
  <si>
    <r>
      <rPr>
        <sz val="10"/>
        <color rgb="FF2E2E2E"/>
        <rFont val="Arial"/>
        <scheme val="minor"/>
      </rPr>
      <t xml:space="preserve">With the current logic, the reversal flag may result in false positive reversals, since there is no condition ensuring that one invoice can be considered a reversal of only one other invoice. Under the current approach, multiple invoices can be mapped to a single invoice. </t>
    </r>
    <r>
      <rPr>
        <sz val="10"/>
        <color rgb="FFFF0000"/>
        <rFont val="Arial"/>
        <scheme val="minor"/>
      </rPr>
      <t>New feedback</t>
    </r>
  </si>
  <si>
    <t>Anomaly improovements check.docx</t>
  </si>
  <si>
    <t>vineet</t>
  </si>
  <si>
    <t>te new logic is elaborating. the scale of the issue will be calculating after receving the file with all reversals</t>
  </si>
  <si>
    <t>2025_aug_sep_Delaware</t>
  </si>
  <si>
    <r>
      <rPr>
        <sz val="10"/>
        <color rgb="FF2E2E2E"/>
        <rFont val="Arial"/>
        <scheme val="minor"/>
      </rPr>
      <t>Negative values are currently appearing in the system output without a reversal flag, while in the source file there are positive transactions for the same amount from the same vendor dated earlier.</t>
    </r>
    <r>
      <rPr>
        <sz val="10"/>
        <color rgb="FFFF0000"/>
        <rFont val="Arial"/>
        <scheme val="minor"/>
      </rPr>
      <t>New feedback</t>
    </r>
  </si>
  <si>
    <t>Algoritm</t>
  </si>
  <si>
    <t>The issue with including invoices with different invoice amounts in the matches has become more significant. It is necessary to review the logic of the new match reversal number.</t>
  </si>
  <si>
    <t xml:space="preserve">10% difference, line description should be similliar. Apply to completed invoices: invoice amount&amp;vendor&amp;sipplier_invoice number. </t>
  </si>
  <si>
    <t>Incompleted invoices</t>
  </si>
  <si>
    <t>Exclude incomplete invoices from the dataset.
Only invoices that include all records with the same vendor name, invoice amount, and supplier invoice number should be considered — similar to point 3.</t>
  </si>
  <si>
    <t>? Appears to be similar to  N6</t>
  </si>
  <si>
    <t>2025_all_algo_anomaly_delaware_data_2</t>
  </si>
  <si>
    <t>Incompleted invoices_reversals</t>
  </si>
  <si>
    <t xml:space="preserve">Solve the issue with negaive invoice amounts </t>
  </si>
  <si>
    <t>https://gpohealthcom.sharepoint.com/:w:/r/sites/BusinessAnalytics/_layouts/15/Doc.aspx?sourcedoc=%7BDD52EDEA-AF79-4C32-860E-257CE5F88EBC%7D&amp;file=Anomalies%20improvements%20review%202.docx&amp;action=default&amp;mobileredirect=true</t>
  </si>
  <si>
    <t>Lines from the same invoice are matched</t>
  </si>
  <si>
    <t>Same supplier but discrepancies in invoice records</t>
  </si>
  <si>
    <t xml:space="preserve">Exclude - generates many extra lines in the output </t>
  </si>
  <si>
    <t>invoice amount&amp;vendor&amp;sipplier_invoice number. Consider check number only if the sum of ext amount = invoice amount</t>
  </si>
  <si>
    <t>New_matched_record_number</t>
  </si>
  <si>
    <t>ML1.1, ML2, same invoice details but different check details</t>
  </si>
  <si>
    <t>Multiline invoices duplicate ends up in different matches -- inside one matched record number there's only one invoice line</t>
  </si>
  <si>
    <r>
      <rPr>
        <sz val="11"/>
        <color rgb="FF2E2E2E"/>
        <rFont val="Arial"/>
        <family val="2"/>
        <scheme val="minor"/>
      </rPr>
      <t xml:space="preserve">Case 2 </t>
    </r>
    <r>
      <rPr>
        <u/>
        <sz val="11"/>
        <color rgb="FFFFB8C1"/>
        <rFont val="Arial"/>
        <family val="2"/>
        <scheme val="minor"/>
      </rPr>
      <t>https://gpohealthcom.sharepoint.com/:w:/r/sites/BusinessAnalytics/_layouts/15/Doc.aspx?sourcedoc=%7BADC221FB-9F95-4AD2-A249-487443A12801%7D&amp;file=New%20match%20number%20feedback.docx&amp;action=default&amp;mobileredirect=true</t>
    </r>
  </si>
  <si>
    <t>completed</t>
  </si>
  <si>
    <t>Split invoices model -- ML1.3</t>
  </si>
  <si>
    <t>ML1.3</t>
  </si>
  <si>
    <t>Many lines generated now and hard to review -- Vendor and Invoice number fields are not considered in the model. The mojority is right away not a duplicate. Suggestion: keep matches only with the same Vendor or with similar Invoice Numbers</t>
  </si>
  <si>
    <r>
      <rPr>
        <sz val="11"/>
        <color rgb="FF2E2E2E"/>
        <rFont val="Arial"/>
      </rPr>
      <t xml:space="preserve">Case 1 </t>
    </r>
    <r>
      <rPr>
        <u/>
        <sz val="11"/>
        <color rgb="FFFFB8C1"/>
        <rFont val="Arial"/>
      </rPr>
      <t>https://gpohealthcom.sharepoint.com/:w:/r/sites/BusinessAnalytics/_layouts/15/Doc.aspx?sourcedoc=%7BADC221FB-9F95-4AD2-A249-487443A12801%7D&amp;file=New%20match%20number%20feedback.docx&amp;action=default&amp;mobileredirect=true</t>
    </r>
  </si>
  <si>
    <t>semen</t>
  </si>
  <si>
    <t>closed (not a priority)</t>
  </si>
  <si>
    <t>During the discussion, it was agreed that incomplete invoices may exist and this is not an issue as long as all invoice lines are captured.</t>
  </si>
  <si>
    <t>Incomplete invoices captured</t>
  </si>
  <si>
    <t xml:space="preserve">Invoice Amount in a dupicate is the same, but only several lines form multiline invoices are captured in the output. May be related to item #4? </t>
  </si>
  <si>
    <t>Delaware_anomaly_feedback_2</t>
  </si>
  <si>
    <t>We observe the issue; however on hold for now</t>
  </si>
  <si>
    <t>Impact  Flag</t>
  </si>
  <si>
    <t xml:space="preserve">Across? </t>
  </si>
  <si>
    <t>In a match with multiline invoices, Impact flag is only on one line</t>
  </si>
  <si>
    <t>Impact flag section https://gpohealthcom.sharepoint.com/:w:/r/sites/BusinessAnalytics/_layouts/15/Doc.aspx?sourcedoc=%7BFE9730F4-D1BF-43CE-B39A-E861AC011E95%7D&amp;file=Delaware%20anomaly%207%20months%202025%20feedback.docx&amp;action=default&amp;mobileredirect=true</t>
  </si>
  <si>
    <t>Same check number scenario</t>
  </si>
  <si>
    <t>Do algotightms consider same check duplicates? We manually found great duplicates that are missing in the system output -- they mainly have same check number.</t>
  </si>
  <si>
    <r>
      <rPr>
        <sz val="11"/>
        <color rgb="FF2E2E2E"/>
        <rFont val="Arial"/>
        <family val="2"/>
        <scheme val="minor"/>
      </rPr>
      <t>Different check numbers inside the invoice  section</t>
    </r>
    <r>
      <rPr>
        <u/>
        <sz val="11"/>
        <color rgb="FFFFB8C1"/>
        <rFont val="Arial"/>
        <family val="2"/>
        <scheme val="minor"/>
      </rPr>
      <t xml:space="preserve"> https://gpohealthcom.sharepoint.com/:w:/r/sites/BusinessAnalytics/_layouts/15/Doc.aspx?sourcedoc=%7BA1A2B2DC-A06C-4C24-B29C-2BBD154844B0%7D&amp;file=UCI%20data_check.docx&amp;action=default&amp;mobileredirect=true</t>
    </r>
  </si>
  <si>
    <t xml:space="preserve">to check </t>
  </si>
  <si>
    <t xml:space="preserve">Cancel Flag </t>
  </si>
  <si>
    <t>In Delaware output there are no canceled</t>
  </si>
  <si>
    <t>Date in supplier invoice number flag </t>
  </si>
  <si>
    <r>
      <rPr>
        <sz val="10"/>
        <color rgb="FF000000"/>
        <rFont val="Aptos"/>
      </rPr>
      <t xml:space="preserve">A problem was also found in the operation of the </t>
    </r>
    <r>
      <rPr>
        <b/>
        <sz val="10"/>
        <color rgb="FF000000"/>
        <rFont val="Aptos"/>
      </rPr>
      <t>date in supplier invoice number flag</t>
    </r>
    <r>
      <rPr>
        <sz val="10"/>
        <color rgb="FF000000"/>
        <rFont val="Aptos"/>
      </rPr>
      <t xml:space="preserve">. </t>
    </r>
  </si>
  <si>
    <t>Date in supplier invoice number flag section https://gpohealthcom.sharepoint.com/:w:/r/sites/BusinessAnalytics/_layouts/15/Doc.aspx?sourcedoc=%7BFE9730F4-D1BF-43CE-B39A-E861AC011E95%7D&amp;file=Delaware%20anomaly%207%20months%202025%20feedback.docx&amp;action=default&amp;mobileredirect=true</t>
  </si>
  <si>
    <t>Responsible: Semen</t>
  </si>
  <si>
    <t>UCI_anomaly</t>
  </si>
  <si>
    <t xml:space="preserve">Future improvements: Date in the invoice numbers </t>
  </si>
  <si>
    <t>The UCI data includes numerous monthly transactions, which is reflected in the changing month number in the middle of the supplier invoice number. This is also documented in the Line Description. Incorporating this factor into the model would significantly reduce verification time. </t>
  </si>
  <si>
    <r>
      <rPr>
        <sz val="11"/>
        <color rgb="FF2E2E2E"/>
        <rFont val="Arial"/>
        <scheme val="minor"/>
      </rPr>
      <t xml:space="preserve">Section Future improvements: Date in the invoice numbers </t>
    </r>
    <r>
      <rPr>
        <u/>
        <sz val="11"/>
        <color rgb="FFFFB8C1"/>
        <rFont val="Arial"/>
        <scheme val="minor"/>
      </rPr>
      <t>https://gpohealthcom.sharepoint.com/:w:/r/sites/BusinessAnalytics/_layouts/15/Doc.aspx?sourcedoc=%7BA1A2B2DC-A06C-4C24-B29C-2BBD154844B0%7D&amp;file=UCI%20data_check.docx&amp;action=default&amp;mobileredirect=true</t>
    </r>
  </si>
  <si>
    <t xml:space="preserve">Chicago </t>
  </si>
  <si>
    <t>Priority model</t>
  </si>
  <si>
    <t>Current next steps: Merge the two flags into one, taking into account the increased prioritization from the priority_additional column.</t>
  </si>
  <si>
    <t>https://gpohealthcom.sharepoint.com/:w:/s/BusinessAnalytics/ERb8l2E3HYhMnooY242rtUcBlUI1JbzTg6o37YtLFY5xkA?wdOrigin=TEAMS-MAGLEV.p2p_ns.rwc&amp;wdExp=TEAMS-TREATMENT&amp;wdhostclicktime=1759424021430&amp;web=1</t>
  </si>
  <si>
    <t>Future improvements: White &amp; Black  box models</t>
  </si>
  <si>
    <t>At present, the prioritization model covers 80–90% of the identified duplicates but generates a significant number of false positive results. The implementation of white-box and black-box models will improve the efficiency of the models and enhance their adaptability to other clients. K to provide input</t>
  </si>
  <si>
    <t xml:space="preserve">Priority </t>
  </si>
  <si>
    <t>Future improvements: Supplier pattern</t>
  </si>
  <si>
    <t>The goal is to capture supplier-specific transaction patterns to more accurately detect duplicates and expand coverage to non-standard cases.</t>
  </si>
  <si>
    <t>Unpaid and unreconciled invoices</t>
  </si>
  <si>
    <t>we need to chage this to unpaid only.</t>
  </si>
  <si>
    <t>The same logic as VOID</t>
  </si>
  <si>
    <t>2025_nov_Delaware</t>
  </si>
  <si>
    <t>Invoices with identical invoice numbers are not catched by the algoritm</t>
  </si>
  <si>
    <t>https://gpohealthcom.sharepoint.com/:w:/r/sites/BusinessAnalytics/_layouts/15/Doc.aspx?sourcedoc=%7B6419C5CB-5B91-4F06-A405-CB24BCD6DD69%7D&amp;file=Delaware_anomaly_Nov2025.docx&amp;action=default&amp;mobileredirect=true</t>
  </si>
  <si>
    <r>
      <rPr>
        <sz val="10"/>
        <color rgb="FF000000"/>
        <rFont val="Aptos"/>
      </rPr>
      <t xml:space="preserve">A problem was also found in the operation of the </t>
    </r>
    <r>
      <rPr>
        <b/>
        <sz val="10"/>
        <color rgb="FF000000"/>
        <rFont val="Aptos"/>
      </rPr>
      <t>date in supplier invoice number flag</t>
    </r>
    <r>
      <rPr>
        <sz val="10"/>
        <color rgb="FF000000"/>
        <rFont val="Aptos"/>
      </rPr>
      <t xml:space="preserve">. Semen provided the feedback that solving this promplrm will overfit the model. </t>
    </r>
    <r>
      <rPr>
        <sz val="10"/>
        <color rgb="FFFF0000"/>
        <rFont val="Aptos"/>
      </rPr>
      <t>to discuss</t>
    </r>
  </si>
  <si>
    <t>Reversal group number</t>
  </si>
  <si>
    <t>Reversals group number​. Doesnt work correctly</t>
  </si>
  <si>
    <t>Reversals group number​</t>
  </si>
  <si>
    <t xml:space="preserve">Vendor name alies </t>
  </si>
  <si>
    <t>Vendor name alies fiels sometimes is empty</t>
  </si>
  <si>
    <t>Match between lines</t>
  </si>
  <si>
    <t>There is still an issue where different line items within the same invoice are being matched to each other.</t>
  </si>
  <si>
    <t>Filtration model</t>
  </si>
  <si>
    <t>Add source in the output</t>
  </si>
  <si>
    <t>seq n across invoice</t>
  </si>
  <si>
    <t>Item Master -- Contract master (contracts + effective dates) and Contract Linkage (contracts relationship)</t>
  </si>
  <si>
    <t>Please refer to feedback file.  Adjust output files based on contract effective dates and related contracts</t>
  </si>
  <si>
    <t>Item_Master.docx</t>
  </si>
  <si>
    <t>V</t>
  </si>
  <si>
    <t>aim to close everything in the next iteraton</t>
  </si>
  <si>
    <t>Item Master -- Contract MPN master  and Contract MPN Map (all descriptions and MPN consolidated and linked to contracts)</t>
  </si>
  <si>
    <r>
      <rPr>
        <sz val="11"/>
        <color rgb="FF2E2E2E"/>
        <rFont val="Arial"/>
      </rPr>
      <t xml:space="preserve">Please refer to feedback file. </t>
    </r>
    <r>
      <rPr>
        <sz val="11"/>
        <color rgb="FFFF0000"/>
        <rFont val="Arial"/>
      </rPr>
      <t>Suggested structure in green</t>
    </r>
  </si>
  <si>
    <t>?</t>
  </si>
  <si>
    <t>Improve PO-side estimations</t>
  </si>
  <si>
    <t xml:space="preserve">Please refer to feedback file. Estimations should be based on the item list for the contract, not solely on the Contract Number column in the PO file.   For PO estimation there is a big discrepancy - my understanding that the algorithm just refers to the Contract Number column in PO. Correct approach would be to create a contract product list using PP-CA-446 and PP-CA-636 in POs. And then find all related PO spend for these items -- this way we get the full picture and have a consistent approach with the AP part. </t>
  </si>
  <si>
    <t>AP_PO_Integration.docx</t>
  </si>
  <si>
    <t>Can be implemented as the next step development, not critical now</t>
  </si>
  <si>
    <t>Extended Amount sign logic</t>
  </si>
  <si>
    <t>As discussed on Teams, this issue was fixed -- just want to make sure it’s fully incorporated into the algorithm.</t>
  </si>
  <si>
    <t>email 12/26</t>
  </si>
  <si>
    <t>Next Steps</t>
  </si>
  <si>
    <t>Reprocessing scope</t>
  </si>
  <si>
    <t>After all changes are implemented and the Contract Master files are finalized, the next step will be to reprocess all previously delivered data including 2021-2022. We can start with the contracts from Deliveries 1-2,  sharing the list (client Export Data folder, "Admn_Fee_Requset_to_Reprocess_12.26" dated 12/26/25)</t>
  </si>
  <si>
    <t>3 - after priorities 1 and 2 are closed</t>
  </si>
  <si>
    <t xml:space="preserve">AP side estimation missing  big supplier </t>
  </si>
  <si>
    <t>1 - critical not to lose big AP chunks</t>
  </si>
  <si>
    <t>PO side estimation is lower than in Source files</t>
  </si>
  <si>
    <t xml:space="preserve">anomaly output </t>
  </si>
  <si>
    <t>seq_num</t>
  </si>
  <si>
    <t xml:space="preserve">new match record no </t>
  </si>
  <si>
    <t xml:space="preserve">invoice number </t>
  </si>
  <si>
    <t>source data</t>
  </si>
  <si>
    <t>Date</t>
  </si>
  <si>
    <t>Discussed</t>
  </si>
  <si>
    <t>Action</t>
  </si>
  <si>
    <t>Priority 1/2/3</t>
  </si>
  <si>
    <t>Commentary</t>
  </si>
  <si>
    <t>13% DLTP items don't have hunterAI IDs</t>
  </si>
  <si>
    <t xml:space="preserve"> T14 instance reviewes</t>
  </si>
  <si>
    <t>BA</t>
  </si>
  <si>
    <t>Provide example</t>
  </si>
  <si>
    <t>Closed</t>
  </si>
  <si>
    <t>KP data</t>
  </si>
  <si>
    <t>segment_flag has values 0,1,3</t>
  </si>
  <si>
    <t>Engineering</t>
  </si>
  <si>
    <t>Use dev server only for segm flag</t>
  </si>
  <si>
    <t>What is an actionable feedback?</t>
  </si>
  <si>
    <t>Prioritize Segments/Commodities, Provide a feedback in that way</t>
  </si>
  <si>
    <t>Min price in savings</t>
  </si>
  <si>
    <t>Comes from outlier lines</t>
  </si>
  <si>
    <t>Data Science</t>
  </si>
  <si>
    <t xml:space="preserve">Validate the reason for different min price for outliers in few instances </t>
  </si>
  <si>
    <t>Methodology</t>
  </si>
  <si>
    <t>To be prepared for savings</t>
  </si>
  <si>
    <t>1. Received feedback 26/12/2023
2. 01/04/2024 feedback from Data Science was provided
3. 01/19/2024 feedback form BA team was provided
4. 01/23/2024 feedback was provided by Bhagya
5. 01/23/2024 replied by BA team
Closed</t>
  </si>
  <si>
    <t>File 2 aggregation</t>
  </si>
  <si>
    <t>sum up facility level breakdown in export file only</t>
  </si>
  <si>
    <t>Item_OEM</t>
  </si>
  <si>
    <t>Observations discussed</t>
  </si>
  <si>
    <t>1. Accessories - ag Apple case 
2. Services - Do we include and how? Eg Accenture, PWC, Cognizant</t>
  </si>
  <si>
    <t>Vendor Deduping 
(Invoice vs AP vendors)</t>
  </si>
  <si>
    <t>Deduping improvements and separate discussion is required</t>
  </si>
  <si>
    <t>BA suggested an additional check. Ready to check. 26/12/2023 BA to receive the file from Vineet
1. 01/02/2024 - BA placed a request to reveal details of the data behind the deduping list
2. 02/06/2024 refreshed data was provided 
3. 02/08/2024 feedback was provided by BA team
4. Request to add the source (does it come from AP/PO/Invoice)
5. 02/19/2024 Enriched data was provided by Vineet 
Bhagya 02/23/2024:  i have given an updated AP Invoice Vendor Dedup file to Vineet few mins back.  This is for the 26 systems data. He will let you know once he updates the dimension</t>
  </si>
  <si>
    <t>File_1_2_requirements</t>
  </si>
  <si>
    <t>Required changes in the Output files (File_1, File_2)</t>
  </si>
  <si>
    <t>1. Provided by Engineering Team, 2. Feedback from BA  - provided 01/10/2024, 3. Vineet responded on 01/11/2024
4. 01/18/2024 Required changes are implemented and accepted.</t>
  </si>
  <si>
    <t>Once IT_Suppliers_flag issue and OEM issue are fixed, to check data one more time</t>
  </si>
  <si>
    <t>IT_suppliers_flag case</t>
  </si>
  <si>
    <t>Verathon case - different IT_Supplier flag in Fact table and Savings Table</t>
  </si>
  <si>
    <t>Item_OEM into DB</t>
  </si>
  <si>
    <t>Firstly on Duke data</t>
  </si>
  <si>
    <t>Item_OEM across 26 systems</t>
  </si>
  <si>
    <t>To spread OEMs across all 26 systems</t>
  </si>
  <si>
    <t>1. The first iteration was received from ET on 01/09/2024 - verification is in progress.
2. Feedback from BA team was provided on 01/12 about discrepancy for Duke's data. Waiting for Bhagya's answer
3. 01/22/2024 data was reuploaded, top level numbers for Duke look good
4. Feedback was provided on 01/31/2024
5. Second iteration was provided on 02/14/2024
+ commodity check
6. Feedback was provided by BA team 02/16/2024
7. 21/02/2024 BA Team accepted part for IT Suppliers
There are part of checked rules (for non-IT Suppliers part) which should be applied in the next iteration. Should be verified on Member1&amp;Member3 reprocessed data</t>
  </si>
  <si>
    <t>The list with standard reports</t>
  </si>
  <si>
    <t>Compile the list with 4-5 reports which can be standard across different products</t>
  </si>
  <si>
    <t>Additional fields into flat export of uncategorized Member4</t>
  </si>
  <si>
    <t>to provide list of fields that need to be added into the flat file</t>
  </si>
  <si>
    <t>request from BA sent on 19/12</t>
  </si>
  <si>
    <t>PowerBI upgrade to Dec release</t>
  </si>
  <si>
    <t>awaiting for the update notification from Microsoft</t>
  </si>
  <si>
    <t>26 systems data: blank Invoice spend and non blank Savings (Duke's example)</t>
  </si>
  <si>
    <t>26 Systems check.docx</t>
  </si>
  <si>
    <t>Null comes from the source. Blank invoice spend is still there.
1/23/2024 resolved - to check BA team
02/05/2024 - issue appears again</t>
  </si>
  <si>
    <t>Zaplify security approval</t>
  </si>
  <si>
    <t>Info Security</t>
  </si>
  <si>
    <t>Zoho Account for EY</t>
  </si>
  <si>
    <t>to check if we can make 1 account for multiply users. Sveta and Rohit to test how that works, including masking part - one project for both internal and external
Jeffrey approved 1 account cost
12 Feb - Rohit &amp; Sveta tested</t>
  </si>
  <si>
    <t>Reports from Babu - provide feedback</t>
  </si>
  <si>
    <t>hunterAI_product_2023</t>
  </si>
  <si>
    <t>BA - to provide look and feel  for the first page. For demo demonstations
1/26/2024 the first page was redisgned and provided to Babu
Documentation</t>
  </si>
  <si>
    <t>Release III performance optimization</t>
  </si>
  <si>
    <t>1. Release-III file was provided on 01/14. 
2. Metrics with direct connection to DB were updated + extra cards were removed (BA team).
The last R-III version was provided to Dev Team (01/18/2024)
3. 01/23/2024 current version is provided by Babu for futher UI/UX enhancements</t>
  </si>
  <si>
    <t>IT suppliers flags issue in DB Prod</t>
  </si>
  <si>
    <t>It suppliers flags were changed in comparison with data provided to the client</t>
  </si>
  <si>
    <t>1. BA to check the list with IT Suppliers Alias which have both 1/0 IT flag
2. 01/22/2024 corrected file was provided to Vineet
3. 01/23/2024 The list of IT Suppliers is correct. Closed</t>
  </si>
  <si>
    <t>Medical Model</t>
  </si>
  <si>
    <t>Medical Model verification - Iteration 1</t>
  </si>
  <si>
    <t>1. 01/18/2024 The first model for 250 commodities 
Feedback provided by BA team 01/25/2024</t>
  </si>
  <si>
    <t>Release III notes</t>
  </si>
  <si>
    <t>To create Release notes (documentation)</t>
  </si>
  <si>
    <t>1/30/2024 Report documentation was provided</t>
  </si>
  <si>
    <t>Analysis for Medical model</t>
  </si>
  <si>
    <t>Make comparison between same IM and Predicted commodities (coverage)</t>
  </si>
  <si>
    <t>1. To show what is the improvement within unclassified data</t>
  </si>
  <si>
    <t>Unclassified datasource enhancements</t>
  </si>
  <si>
    <t>1. To add 4 columns
2. To resolve NULL GL Account issue</t>
  </si>
  <si>
    <t xml:space="preserve">02/05/2024 Vineet has provided the file with required changes
There are big discrepancies for </t>
  </si>
  <si>
    <t>F&amp;B_Beef_Savings_Demo</t>
  </si>
  <si>
    <t xml:space="preserve">The page Price Variation by Product doesn't work
Source for this report is l1_tbl; f_and_b_detail_segment4_Table
Connector: L1 MySQL-Sveta
</t>
  </si>
  <si>
    <t>To move this report to Prod - to keep only one server for demo puproses
1. 02/08/2024 Report was relocated to Prod server. Needed verification and approval from BA
2. 02/09/2024 a lot of discrepancices were founded and provided to Babu to fix
3. Fixed report was provided on 02/15/2024
4. 02/21/2024 Report was moved to Demo server
5. Verified by BA team. The report could be reuploaded to PowerBI server</t>
  </si>
  <si>
    <t>F&amp;B_US_Foods_Sysco_Demo</t>
  </si>
  <si>
    <t>F&amp;B_US_Foods_Sysco_categorization page doesn't work
Source: L4_Demo
doesn't work at all</t>
  </si>
  <si>
    <t>To move this report to Prod - to keep only one server for demo puproses
1. 02/08/2024 Report was relocated to Prod server. Needed verification and approval from BA
2. No issues in Prod
3. Reuploading to PowerBI Service
4. 02/21/2024 Report was moved to Demo server
5. Verified by BA team. The report could be reuploaded to PowerBI server</t>
  </si>
  <si>
    <t>Clean-up</t>
  </si>
  <si>
    <t>Duke's Invoice spend enriched by GL accounts</t>
  </si>
  <si>
    <t>To add GL accounts into Invoice dataset where are no many-to-many relationships</t>
  </si>
  <si>
    <t>1. 02/09/2024 new file was provided by Vineet
2. AP file with Invoice Numbers is needed for verification purposes
3. 02/13/2024 feedback was provided by BA team
4. 02/19/2024 fixed data was provided by Vineet
Checked, accepted</t>
  </si>
  <si>
    <t>To upload from SQL the latest list with Invoice and AP Vendors</t>
  </si>
  <si>
    <t>To upload Vendor_Name, Vendor_Name_Alias, Invoice Spend, AP SPend, IT Supplier flag, VAR_verified_flag, Vizient_Supplier_flag for 26 systems</t>
  </si>
  <si>
    <t xml:space="preserve">Provided </t>
  </si>
  <si>
    <t>Member1 deduping names file</t>
  </si>
  <si>
    <t>To upload Vendor_Name, Vendor_Name_Alias, Invoice Spend, AP SPend, IT Supplier flag, VAR_verified_flag, Vizient_Supplier_flag for Member1</t>
  </si>
  <si>
    <t>1. 02/09/2024 the file is provided 
IT Suppliers first
2. Checked - closed
To check why do we have so much AP Vendors</t>
  </si>
  <si>
    <t>Med Model 2nd iteration validation</t>
  </si>
  <si>
    <t>1. 02/08/2024 provided by Data Science
2. 02/14/2024 updated file was provided by Data Science
Manufacturing code discussion - to add where it possible
3. 02/20/2014 feedback was provided by BA team
IT-Suppliers list check + Commodity Check</t>
  </si>
  <si>
    <t>Standard_reports_V1 and Standard_DLTP_reports_V1</t>
  </si>
  <si>
    <t>To fix the issues with these reports, keep them on AWS and delete from PowerBI service</t>
  </si>
  <si>
    <t>Reports were provided. Need to be verified by BA team and deleted from PowerBI Service
02/19 reports are saved on AWS. The path: PowerBI reporting/Old reports
Reports were deleted from PowerBI service</t>
  </si>
  <si>
    <t>ABG_report and Release-III to Demo server</t>
  </si>
  <si>
    <t>To move reports for Demo purposes to Demo server
2. To check reports based on 5 Systems data</t>
  </si>
  <si>
    <t>dim_tables consistency for client in case of multiple channel partner</t>
  </si>
  <si>
    <t>IT_Suppliers flag: discussion in case if we have different IT_suppliers lists for different partners</t>
  </si>
  <si>
    <t>Hold</t>
  </si>
  <si>
    <t>Member 1 &amp; Member3 GL to Invoice, New categorization, OEM to Invoice Validation</t>
  </si>
  <si>
    <t>OEMs, Vendor-based approach, Medical model, AP-Invoice integration</t>
  </si>
  <si>
    <t>1. 02/21/2024 provided by Vineet
Verification plan:
0. Deduping 
1. M&amp;A 
2. Finance views
3. OEMs
4. Savings
5. Med. model</t>
  </si>
  <si>
    <t>London's data: deduping verification</t>
  </si>
  <si>
    <t>To check the quality of deduped names</t>
  </si>
  <si>
    <t>02/26/2024 the first deduping list was provided by Data Scientist team
02/27/2024 the feedback was provided by BA team</t>
  </si>
  <si>
    <t>London's data: IT_suppliers list</t>
  </si>
  <si>
    <t>To mark IT Suppliers</t>
  </si>
  <si>
    <t>Test Web Portal</t>
  </si>
  <si>
    <t>Testing efforts should focus on validating the login process, dashboard functionality, data upload capabilities, detail data sections, and Power BI reports</t>
  </si>
  <si>
    <t>04/24/2024 feedback was provided by BA Team
05/10/2024 test 2.0 feedback provided by BA</t>
  </si>
  <si>
    <t>16.05.2024 to be provided by Security</t>
  </si>
  <si>
    <t>Done</t>
  </si>
  <si>
    <t>Legal offering</t>
  </si>
  <si>
    <t>Create a technical specification for legal invoices</t>
  </si>
  <si>
    <t>Customer feedback / call centers / contact centers</t>
  </si>
  <si>
    <t>To scout data/samples/analysis types</t>
  </si>
  <si>
    <t>completed on May 4th</t>
  </si>
  <si>
    <t>Contracts data (samples)</t>
  </si>
  <si>
    <t>Discharges summaries</t>
  </si>
  <si>
    <t>Access for Michael - aws</t>
  </si>
  <si>
    <t>Security</t>
  </si>
  <si>
    <t>Access for SG - Zoho and S3</t>
  </si>
  <si>
    <t>OCR legal Suppliers</t>
  </si>
  <si>
    <t>05/16/2024 feedback for 4 Suppleirs was provided by BA team</t>
  </si>
  <si>
    <t>? Check domain blocking list?</t>
  </si>
  <si>
    <t>Toptal Unblock</t>
  </si>
  <si>
    <t>Security &amp; BA</t>
  </si>
  <si>
    <t>BA to send a confirmation email
Create a shared space to monitor and review</t>
  </si>
  <si>
    <t>Future - London dedup 2021, 2022</t>
  </si>
  <si>
    <t>request PO files - BA team. Confirm completeness of PO files. Goods Received Note</t>
  </si>
  <si>
    <t>Request passed; London confirmed data to be provided early this week</t>
  </si>
  <si>
    <t>Future - London new Legal files</t>
  </si>
  <si>
    <t>BA to follow-up</t>
  </si>
  <si>
    <t>Files received. Priority TBC</t>
  </si>
  <si>
    <t xml:space="preserve">Future - Singapore  
1) additional fields into AP. 
2) Examples of xml. 
3) Example of pdf files for freight. </t>
  </si>
  <si>
    <t>1) Only Vendor deduping in scope as of now 
2,3) Output received 5/30/2024</t>
  </si>
  <si>
    <t>1) deduping ok
2) XML feedback provided 6/5/24</t>
  </si>
  <si>
    <t>London AP Deduplication Algorithm</t>
  </si>
  <si>
    <t>5/20/2024 passed to BA for testing</t>
  </si>
  <si>
    <t>BA; check each scenario. Vineet; explore the uncaptured confirmed instances</t>
  </si>
  <si>
    <t>4 new suppliers - validation</t>
  </si>
  <si>
    <t>5/21/2024 passed to BA for testing</t>
  </si>
  <si>
    <r>
      <rPr>
        <sz val="10"/>
        <color rgb="FF1A1A1A"/>
        <rFont val="Arial"/>
        <family val="2"/>
        <charset val="204"/>
        <scheme val="minor"/>
      </rPr>
      <t xml:space="preserve">Feedback  provided by BA 5/28/2024
</t>
    </r>
    <r>
      <rPr>
        <sz val="10"/>
        <color rgb="FFFF0000"/>
        <rFont val="Arial"/>
        <family val="2"/>
        <charset val="204"/>
        <scheme val="minor"/>
      </rPr>
      <t>Customer-&gt;SOW-&gt;Iteration
BA to present to London 6/11/24</t>
    </r>
  </si>
  <si>
    <t>Singapore Classification</t>
  </si>
  <si>
    <t>New Legal OCR</t>
  </si>
  <si>
    <t xml:space="preserve">5/27/2024 passed to BA </t>
  </si>
  <si>
    <t>London: Vendor Dedup  - 2021-2022</t>
  </si>
  <si>
    <t>Vineet will provide file for dedup check + new SG vendors dedup</t>
  </si>
  <si>
    <t xml:space="preserve">BA feedback provided 5/31/2024
</t>
  </si>
  <si>
    <t>London: Duplicate Payment Identification - 2021-2022</t>
  </si>
  <si>
    <t>Scenarios 1,2 - feedback provided 6/1/2024. Next 3 sceanrios received by BA on 6/4/2024
All scenarios 2023 feedback provided 6/6/2024</t>
  </si>
  <si>
    <t>Cleanup of old data - individuals</t>
  </si>
  <si>
    <t>Backup confirmation to be provided 6/13/2024</t>
  </si>
  <si>
    <t>BA Input folder - two timelines are coming</t>
  </si>
  <si>
    <t>Client Data Movement Tracker.xlsx</t>
  </si>
  <si>
    <t>Confirmation from BA provided</t>
  </si>
  <si>
    <t>Packaging - Commodity to Packaging L2 mapping</t>
  </si>
  <si>
    <t>Completed by BA 6/4/2024; will be provided on the same date</t>
  </si>
  <si>
    <t>Bottomline legal requirements</t>
  </si>
  <si>
    <t>Provided 6/13/2024</t>
  </si>
  <si>
    <t>Access for London to the Web Portal</t>
  </si>
  <si>
    <t>Provided 6/11/2024</t>
  </si>
  <si>
    <t xml:space="preserve">DL Anomalies Scenarios </t>
  </si>
  <si>
    <t>BA to Provide feedback</t>
  </si>
  <si>
    <t>Checked - WIP</t>
  </si>
  <si>
    <t>Distance Report</t>
  </si>
  <si>
    <t>Checked</t>
  </si>
  <si>
    <t>Sentiment analysis</t>
  </si>
  <si>
    <t>Twitter to be added. Daria &amp; Bhagya to have a call</t>
  </si>
  <si>
    <t>Legal Invoices - Iteration II</t>
  </si>
  <si>
    <t>Feedback provided on 07/10/2024
Morgan Lewis, Bottomline Technologies are pending
Explore automation opportunities: BA - describe step be step process in flagging and check reporting. Roles assignement to be manual. Roles - test chatGPT using website URLs. Google Gemini</t>
  </si>
  <si>
    <t>Late Payment Benchmarks 61 Systems</t>
  </si>
  <si>
    <t>Home Page for London - combine Invoice Recovery, Legal, IT, Late Payment under the one report</t>
  </si>
  <si>
    <t>BI team</t>
  </si>
  <si>
    <t>Blood Bank requirements</t>
  </si>
  <si>
    <t>Data Scientist</t>
  </si>
  <si>
    <t>BA Feedback provided</t>
  </si>
  <si>
    <t>Anesthesia requirements</t>
  </si>
  <si>
    <t>ADA tool testing</t>
  </si>
  <si>
    <t>test on 2023 vs known duplicate / output</t>
  </si>
  <si>
    <t>anything new we find using the tool?</t>
  </si>
  <si>
    <t>Active Data testing (excel data)</t>
  </si>
  <si>
    <t>Savings Table - provide fields which are not using</t>
  </si>
  <si>
    <t>Columns provided on 07/11/2024. Lena to send an email. Email sent. Awaiting for test table to check
R-III report with reduced savings table was checked</t>
  </si>
  <si>
    <t>Blood Bank feedback</t>
  </si>
  <si>
    <t>Dr.Gen to check - codes in invoices - what we can deduce</t>
  </si>
  <si>
    <t>Anesthesia feedback</t>
  </si>
  <si>
    <t>Format 1,2 accepted</t>
  </si>
  <si>
    <t>Anesthesia contracts analysis</t>
  </si>
  <si>
    <t>Dr.Gen to look for benchmarking - anest. services</t>
  </si>
  <si>
    <t>Lighthouse Home page - enable in web portal</t>
  </si>
  <si>
    <t>multiple sign-on requests for PowerBI</t>
  </si>
  <si>
    <t>BI / Info Security</t>
  </si>
  <si>
    <t>Checked by BA team</t>
  </si>
  <si>
    <t>Fuzzy logics 2021-2022</t>
  </si>
  <si>
    <t xml:space="preserve">test </t>
  </si>
  <si>
    <t>feedback provided 7/15/2024
new fuzzy logics output received
feedback provided 7/25</t>
  </si>
  <si>
    <t>ChatGPT in Teams fix</t>
  </si>
  <si>
    <t>Claims Output Feedback</t>
  </si>
  <si>
    <t>new output recived 7/23</t>
  </si>
  <si>
    <t>Premium Prediction</t>
  </si>
  <si>
    <t>feedback provided 8/1</t>
  </si>
  <si>
    <t>Sentiment Analysis</t>
  </si>
  <si>
    <t>Iteration-II</t>
  </si>
  <si>
    <t>PowerBI report prep</t>
  </si>
  <si>
    <t>Legal: Explore automation opportunities: BA - describe step by step process in flagging and check reporting. Roles assignement to be manual. Roles - test chatGPT using website URLs. Google Gemini</t>
  </si>
  <si>
    <t>Fuzzy logics 2023</t>
  </si>
  <si>
    <t>feedback provided 7/31</t>
  </si>
  <si>
    <t>US Foods Format 1 OCR validation</t>
  </si>
  <si>
    <t>London 2024 Anomalies: 4 priority scenarios validation</t>
  </si>
  <si>
    <t>feedback provided 8/7/24</t>
  </si>
  <si>
    <t>Payor Contracts</t>
  </si>
  <si>
    <t>received 8/7/24</t>
  </si>
  <si>
    <t>requires Web Portal setup</t>
  </si>
  <si>
    <t>London - Confirmed Duplicate payments - Categorization</t>
  </si>
  <si>
    <t>received 8/12/24</t>
  </si>
  <si>
    <t>Portal Access Issues</t>
  </si>
  <si>
    <t>Vendor dedup for 2 new files ("GPO file" and Meditrack file)</t>
  </si>
  <si>
    <t>AP Anomalies new filter columns 2021-2022-2023 (4 scenarios)</t>
  </si>
  <si>
    <t>Benford Law Anomalies Test</t>
  </si>
  <si>
    <t>first 2 digits completed. File to be received for check</t>
  </si>
  <si>
    <t>Sentiment Iteration II feedback</t>
  </si>
  <si>
    <t>Payment clause extraction - POC</t>
  </si>
  <si>
    <t>84% accuracy</t>
  </si>
  <si>
    <t>Rebates / Amin Fee</t>
  </si>
  <si>
    <t>Contract Titles to UNSPSC</t>
  </si>
  <si>
    <t>feedback provided; no action required</t>
  </si>
  <si>
    <t>US Foods format 2 feedback</t>
  </si>
  <si>
    <t>Web Portal Download / Upload / Button</t>
  </si>
  <si>
    <t>Vendor Dedup - London-California</t>
  </si>
  <si>
    <t>New Dataset London Q2 2024</t>
  </si>
  <si>
    <t>Vendor Deduping - 220 vendors - with next run + new vendors from new admin fee reports</t>
  </si>
  <si>
    <t>Pending</t>
  </si>
  <si>
    <t>US Foods - PO pdf vs PO file</t>
  </si>
  <si>
    <t>Website - fix link from Google</t>
  </si>
  <si>
    <t>Exploring ways to automate</t>
  </si>
  <si>
    <t>Iteration-II Payment Terms &amp; Rebate Terms</t>
  </si>
  <si>
    <t>payment clause hold for delivery in Jan; rebates we expect 12/4</t>
  </si>
  <si>
    <t>feedback provided 12/9/2024</t>
  </si>
  <si>
    <t>General</t>
  </si>
  <si>
    <t>Web Portal - Member Name hide</t>
  </si>
  <si>
    <t>Medline Urology Review</t>
  </si>
  <si>
    <t>done</t>
  </si>
  <si>
    <t>Mapping to spend descriptions in progress</t>
  </si>
  <si>
    <t>Dr.Gen / Kristina</t>
  </si>
  <si>
    <t>Categorization close to completion; next - lineage to spend (430 records completed)</t>
  </si>
  <si>
    <t>Payment Terms in db</t>
  </si>
  <si>
    <t>reports recreated using db tables. Supplier tier was connected as manual flag.</t>
  </si>
  <si>
    <t>feedback sent: add vendor_group_key into fact table. Use alias_name for relation</t>
  </si>
  <si>
    <t>MPNs to AP line descriptions</t>
  </si>
  <si>
    <t>explore enrichment</t>
  </si>
  <si>
    <t>Duplicate Payments: Iteration-I</t>
  </si>
  <si>
    <t>Sequence numbers added into 2023; wip for 2021-2022</t>
  </si>
  <si>
    <t>feedback provided 12/9/2024. Vineet &amp; Sveta patterns</t>
  </si>
  <si>
    <t>US Foods Report</t>
  </si>
  <si>
    <t>Client expects price variation insights</t>
  </si>
  <si>
    <t>commodities for the next 4 base products</t>
  </si>
  <si>
    <t>December last 2 weeks</t>
  </si>
  <si>
    <t>File upload for London team</t>
  </si>
  <si>
    <t>AP-PO-Price File 2023 Urological Price File</t>
  </si>
  <si>
    <t>feedback sent 12/5/2024</t>
  </si>
  <si>
    <t>Contract Rebates (non-GPO)</t>
  </si>
  <si>
    <t>AP-PO -Contract 16825 gloves</t>
  </si>
  <si>
    <t>Payment Anomalies Iteration-I</t>
  </si>
  <si>
    <t>relate to Satori cases</t>
  </si>
  <si>
    <t>feedback sent</t>
  </si>
  <si>
    <t>Dates Anomalies Iteration-I</t>
  </si>
  <si>
    <t>Payment Terms Anomaly Iteration-I</t>
  </si>
  <si>
    <t>payment made, after a gap</t>
  </si>
  <si>
    <t>Development</t>
  </si>
  <si>
    <t>Transaltion of PO file - Portugal</t>
  </si>
  <si>
    <t>Portugal PO File Categorization</t>
  </si>
  <si>
    <t>Sequantix</t>
  </si>
  <si>
    <t>Demo reports</t>
  </si>
  <si>
    <t>Demo files + List of people</t>
  </si>
  <si>
    <t>Iteration-III Rebate Terms (clause and flag)</t>
  </si>
  <si>
    <t>feedback provided 12/17/2024</t>
  </si>
  <si>
    <t>Hunter/Kristina</t>
  </si>
  <si>
    <t>feedback sent 6/01</t>
  </si>
  <si>
    <t xml:space="preserve">London - California exports </t>
  </si>
  <si>
    <t>no action required, files received</t>
  </si>
  <si>
    <t>feedback provided 21/01</t>
  </si>
  <si>
    <t>Active</t>
  </si>
  <si>
    <t>run on 2021-2023 combined</t>
  </si>
  <si>
    <t>feedback provided 13/01</t>
  </si>
  <si>
    <t>Hunter / Kristina / Dr.Gen</t>
  </si>
  <si>
    <t>Sequantix Demo</t>
  </si>
  <si>
    <t>Educational session</t>
  </si>
  <si>
    <t>discuss demo structure, incporporate need of portal up request</t>
  </si>
  <si>
    <t>Environment for CCHS</t>
  </si>
  <si>
    <t>New: Setup direct environment for CCHS SOW</t>
  </si>
  <si>
    <t>name + email ; file size &lt;8 GB</t>
  </si>
  <si>
    <t>Rohit to create a separate direct bucket for their data. Find data refresh file size to determine portal vs WinSCP.</t>
  </si>
  <si>
    <t>Test Anomalies App</t>
  </si>
  <si>
    <t>communicate test hours &amp; conference hours</t>
  </si>
  <si>
    <t>Provide access plus demo from Vineet on operation. Share of sample data</t>
  </si>
  <si>
    <t>Automated reporting integrated to anomalies interface</t>
  </si>
  <si>
    <t>awaiting to receive db reports to remove Confirmed views</t>
  </si>
  <si>
    <t>Vineet / Babu</t>
  </si>
  <si>
    <t>Create stage 1 slimmed down reporting upon first upload. Then create stage 2 reports after manual intervention by procurement for later iterated output.</t>
  </si>
  <si>
    <t>Documentation for Q4 reports</t>
  </si>
  <si>
    <t>3 db reports; 2 flat files</t>
  </si>
  <si>
    <t>Q3 reports need to be closed off for their production reporting.</t>
  </si>
  <si>
    <t>Daria / Dr. Gen</t>
  </si>
  <si>
    <t>Operations</t>
  </si>
  <si>
    <t>Clean-Up</t>
  </si>
  <si>
    <t>request placed to clean up Delete folder</t>
  </si>
  <si>
    <t>No customer data should be kept past a certain period in individual folders.</t>
  </si>
  <si>
    <t>21-22 ML-based model wip; rest validated</t>
  </si>
  <si>
    <t>2020 Output</t>
  </si>
  <si>
    <t>2020 Vendor Dedup</t>
  </si>
  <si>
    <t>New confirmed instances - mutual process of knowledge update</t>
  </si>
  <si>
    <t>2020, 2024 deduping valdation complete. next steps?</t>
  </si>
  <si>
    <t>Sveta / Daria / Vineet</t>
  </si>
  <si>
    <t>Vineet to share the output (~300 vendors mismatch)</t>
  </si>
  <si>
    <t>2024 Output</t>
  </si>
  <si>
    <t>Fuzzy to be reviewed 27/02. ML1,ML2, rules ro be validated by 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</si>
</sst>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1"/>
      <color theme="1"/>
      <name val="Arial"/>
      <family val="2"/>
      <charset val="204"/>
      <scheme val="minor"/>
    </font>
    <font>
      <sz val="11"/>
      <color theme="1"/>
      <name val="Arial"/>
      <family val="2"/>
      <scheme val="minor"/>
    </font>
    <font>
      <sz val="10"/>
      <color theme="1"/>
      <name val="Arial"/>
      <family val="2"/>
      <charset val="204"/>
      <scheme val="minor"/>
    </font>
    <font>
      <sz val="10"/>
      <color theme="1"/>
      <name val="Arial"/>
      <family val="2"/>
      <charset val="204"/>
    </font>
    <font>
      <sz val="10"/>
      <color rgb="FF042EFF"/>
      <name val="Arial"/>
      <family val="2"/>
      <charset val="204"/>
      <scheme val="minor"/>
    </font>
    <font>
      <sz val="10"/>
      <color rgb="FF042EFF"/>
      <name val="Arial"/>
      <family val="2"/>
      <charset val="204"/>
    </font>
    <font>
      <sz val="11"/>
      <color rgb="FF042EFF"/>
      <name val="Arial"/>
      <family val="2"/>
      <charset val="204"/>
      <scheme val="minor"/>
    </font>
    <font>
      <sz val="8"/>
      <name val="Arial"/>
      <family val="2"/>
      <charset val="204"/>
      <scheme val="minor"/>
    </font>
    <font>
      <u/>
      <sz val="11"/>
      <color theme="10"/>
      <name val="Arial"/>
      <family val="2"/>
      <charset val="204"/>
      <scheme val="minor"/>
    </font>
    <font>
      <sz val="10"/>
      <color rgb="FF1A1A1A"/>
      <name val="Arial"/>
      <family val="2"/>
      <charset val="204"/>
      <scheme val="minor"/>
    </font>
    <font>
      <sz val="8"/>
      <color theme="1"/>
      <name val="Arial"/>
      <family val="2"/>
      <charset val="204"/>
      <scheme val="minor"/>
    </font>
    <font>
      <sz val="8"/>
      <color rgb="FF1A1A1A"/>
      <name val="Arial"/>
      <family val="2"/>
      <charset val="204"/>
    </font>
    <font>
      <sz val="9"/>
      <color theme="1"/>
      <name val="Arial"/>
      <family val="2"/>
      <charset val="204"/>
      <scheme val="minor"/>
    </font>
    <font>
      <sz val="11"/>
      <color rgb="FF006100"/>
      <name val="Arial"/>
      <family val="2"/>
      <charset val="204"/>
      <scheme val="minor"/>
    </font>
    <font>
      <sz val="10"/>
      <color rgb="FF000000"/>
      <name val="Arial"/>
      <family val="2"/>
      <charset val="204"/>
      <scheme val="minor"/>
    </font>
    <font>
      <sz val="10"/>
      <color rgb="FFFF0000"/>
      <name val="Arial"/>
      <family val="2"/>
      <charset val="204"/>
      <scheme val="minor"/>
    </font>
    <font>
      <sz val="10"/>
      <color rgb="FF000000"/>
      <name val="Arial"/>
      <family val="2"/>
      <charset val="204"/>
    </font>
    <font>
      <b/>
      <sz val="10"/>
      <color rgb="FF042EFF"/>
      <name val="Arial"/>
      <family val="2"/>
      <charset val="204"/>
      <scheme val="minor"/>
    </font>
    <font>
      <sz val="8"/>
      <color theme="1"/>
      <name val="Arial"/>
      <family val="2"/>
      <charset val="204"/>
      <scheme val="minor"/>
    </font>
    <font>
      <sz val="11"/>
      <color theme="1"/>
      <name val="Arial"/>
      <family val="2"/>
      <charset val="204"/>
      <scheme val="minor"/>
    </font>
    <font>
      <sz val="11"/>
      <color rgb="FF042EFF"/>
      <name val="Arial"/>
      <family val="2"/>
      <charset val="204"/>
      <scheme val="minor"/>
    </font>
    <font>
      <b/>
      <sz val="10"/>
      <color theme="1"/>
      <name val="Arial"/>
      <family val="2"/>
      <charset val="204"/>
      <scheme val="minor"/>
    </font>
    <font>
      <sz val="11"/>
      <color rgb="FFFF0000"/>
      <name val="Arial"/>
      <family val="2"/>
      <charset val="204"/>
      <scheme val="minor"/>
    </font>
    <font>
      <sz val="11"/>
      <color theme="1"/>
      <name val="Arial"/>
      <family val="2"/>
      <scheme val="minor"/>
    </font>
    <font>
      <b/>
      <sz val="11"/>
      <color theme="1"/>
      <name val="Arial"/>
      <family val="2"/>
      <scheme val="minor"/>
    </font>
    <font>
      <sz val="11"/>
      <color theme="0"/>
      <name val="Arial"/>
      <family val="2"/>
      <scheme val="minor"/>
    </font>
    <font>
      <sz val="11"/>
      <name val="Arial"/>
      <family val="2"/>
      <scheme val="minor"/>
    </font>
    <font>
      <sz val="11"/>
      <color rgb="FF2E2E2E"/>
      <name val="Arial"/>
      <family val="2"/>
      <charset val="204"/>
    </font>
    <font>
      <sz val="11"/>
      <color rgb="FF00B050"/>
      <name val="Arial"/>
      <family val="2"/>
      <charset val="204"/>
    </font>
    <font>
      <sz val="11"/>
      <color theme="1"/>
      <name val="Arial"/>
      <family val="2"/>
      <charset val="204"/>
    </font>
    <font>
      <sz val="11"/>
      <color theme="4"/>
      <name val="Arial"/>
      <family val="2"/>
      <scheme val="minor"/>
    </font>
    <font>
      <sz val="11"/>
      <color rgb="FFFFC000"/>
      <name val="Arial"/>
      <family val="2"/>
      <charset val="204"/>
    </font>
    <font>
      <sz val="11"/>
      <color rgb="FFFFC000"/>
      <name val="Arial"/>
      <family val="2"/>
      <charset val="204"/>
      <scheme val="minor"/>
    </font>
    <font>
      <sz val="11"/>
      <color rgb="FF2E2E2E"/>
      <name val="Arial"/>
      <family val="2"/>
    </font>
    <font>
      <sz val="11"/>
      <color rgb="FF000000"/>
      <name val="Arial"/>
      <family val="2"/>
      <scheme val="minor"/>
    </font>
    <font>
      <sz val="11"/>
      <color rgb="FF000000"/>
      <name val="Arial"/>
      <family val="2"/>
    </font>
    <font>
      <sz val="11"/>
      <color rgb="FF00B050"/>
      <name val="Arial"/>
      <family val="2"/>
      <scheme val="minor"/>
    </font>
    <font>
      <sz val="11"/>
      <color theme="1"/>
      <name val="Arial"/>
      <family val="2"/>
    </font>
    <font>
      <sz val="11"/>
      <color rgb="FFFF0000"/>
      <name val="Arial"/>
      <family val="2"/>
      <scheme val="minor"/>
    </font>
    <font>
      <b/>
      <sz val="11"/>
      <color theme="0"/>
      <name val="Arial"/>
      <family val="2"/>
      <scheme val="minor"/>
    </font>
    <font>
      <sz val="11"/>
      <color rgb="FF2E2E2E"/>
      <name val="Arial"/>
      <family val="2"/>
      <scheme val="minor"/>
    </font>
    <font>
      <u/>
      <sz val="11"/>
      <color rgb="FFFFB8C1"/>
      <name val="Arial"/>
      <family val="2"/>
      <scheme val="minor"/>
    </font>
    <font>
      <sz val="11"/>
      <color rgb="FF2E2E2E"/>
      <name val="Arial"/>
      <scheme val="minor"/>
    </font>
    <font>
      <u/>
      <sz val="11"/>
      <color rgb="FFFFB8C1"/>
      <name val="Arial"/>
      <scheme val="minor"/>
    </font>
    <font>
      <sz val="11"/>
      <color theme="4"/>
      <name val="Arial"/>
    </font>
    <font>
      <sz val="11"/>
      <color rgb="FF2E2E2E"/>
      <name val="Arial"/>
    </font>
    <font>
      <u/>
      <sz val="11"/>
      <color rgb="FFFFB8C1"/>
      <name val="Arial"/>
    </font>
    <font>
      <sz val="11"/>
      <color theme="1"/>
      <name val="Arial"/>
    </font>
    <font>
      <sz val="11"/>
      <color rgb="FFFF0000"/>
      <name val="Arial"/>
    </font>
    <font>
      <sz val="11"/>
      <name val="Arial"/>
      <family val="2"/>
      <charset val="204"/>
      <scheme val="minor"/>
    </font>
    <font>
      <sz val="11"/>
      <color rgb="FFFF0000"/>
      <name val="Arial"/>
      <scheme val="minor"/>
    </font>
    <font>
      <sz val="11"/>
      <color theme="1"/>
      <name val="Arial"/>
      <scheme val="minor"/>
    </font>
    <font>
      <b/>
      <sz val="10"/>
      <color theme="0"/>
      <name val="Arial"/>
      <family val="2"/>
      <scheme val="minor"/>
    </font>
    <font>
      <sz val="10"/>
      <color theme="1"/>
      <name val="Arial"/>
      <family val="2"/>
      <scheme val="minor"/>
    </font>
    <font>
      <sz val="10"/>
      <color theme="1"/>
      <name val="Arial"/>
      <scheme val="minor"/>
    </font>
    <font>
      <sz val="10"/>
      <color rgb="FF2E2E2E"/>
      <name val="Arial"/>
      <scheme val="minor"/>
    </font>
    <font>
      <sz val="10"/>
      <color rgb="FFFF0000"/>
      <name val="Arial"/>
      <scheme val="minor"/>
    </font>
    <font>
      <sz val="10"/>
      <color rgb="FF000000"/>
      <name val="Aptos"/>
    </font>
    <font>
      <b/>
      <sz val="10"/>
      <color rgb="FF000000"/>
      <name val="Aptos"/>
    </font>
    <font>
      <sz val="10"/>
      <color rgb="FFFF0000"/>
      <name val="Aptos"/>
    </font>
    <font>
      <sz val="10"/>
      <color theme="1"/>
      <name val="Aptos"/>
    </font>
    <font>
      <sz val="11"/>
      <color rgb="FF242424"/>
      <name val="Aptos Narrow"/>
      <charset val="1"/>
    </font>
    <font>
      <sz val="11"/>
      <color rgb="FF00B050"/>
      <name val="Arial"/>
      <scheme val="minor"/>
    </font>
    <font>
      <sz val="11"/>
      <color rgb="FF000000"/>
      <name val="Arial"/>
    </font>
    <font>
      <sz val="10"/>
      <color rgb="FF242424"/>
      <name val="Aptos Narrow"/>
      <charset val="1"/>
    </font>
    <font>
      <b/>
      <sz val="12"/>
      <color rgb="FF000000"/>
      <name val="Aptos"/>
      <charset val="1"/>
    </font>
    <font>
      <sz val="12"/>
      <color rgb="FF000000"/>
      <name val="Aptos"/>
      <charset val="1"/>
    </font>
    <font>
      <b/>
      <sz val="11"/>
      <color theme="1"/>
      <name val="Arial"/>
      <family val="2"/>
      <charset val="204"/>
      <scheme val="minor"/>
    </font>
    <font>
      <sz val="11"/>
      <color rgb="FF00B050"/>
      <name val="Arial"/>
    </font>
    <font>
      <u/>
      <sz val="11"/>
      <color rgb="FF000000"/>
      <name val="Aptos"/>
      <charset val="1"/>
    </font>
    <font>
      <sz val="11"/>
      <color rgb="FF000000"/>
      <name val="Aptos"/>
      <charset val="1"/>
    </font>
    <font>
      <sz val="11"/>
      <color rgb="FF000000"/>
      <name val="Aptos"/>
    </font>
    <font>
      <u/>
      <sz val="11"/>
      <color rgb="FF000000"/>
      <name val="Aptos"/>
    </font>
    <font>
      <sz val="11"/>
      <color rgb="FF2E2E2E"/>
      <name val="Arial"/>
      <family val="2"/>
      <charset val="204"/>
      <scheme val="minor"/>
    </font>
    <font>
      <sz val="11"/>
      <color theme="4"/>
      <name val="Arial"/>
      <family val="2"/>
      <charset val="204"/>
      <scheme val="minor"/>
    </font>
    <font>
      <b/>
      <sz val="11"/>
      <color rgb="FFFF0000"/>
      <name val="Arial"/>
      <family val="2"/>
      <charset val="204"/>
      <scheme val="minor"/>
    </font>
    <font>
      <sz val="11"/>
      <color rgb="FF000000"/>
      <name val="Arial"/>
      <family val="2"/>
      <charset val="204"/>
      <scheme val="minor"/>
    </font>
    <font>
      <sz val="11"/>
      <color rgb="FFDC253C"/>
      <name val="Arial"/>
    </font>
    <font>
      <sz val="11"/>
      <color rgb="FFDC253C"/>
      <name val="Arial"/>
      <scheme val="minor"/>
    </font>
  </fonts>
  <fills count="13">
    <fill>
      <patternFill patternType="none"/>
    </fill>
    <fill>
      <patternFill patternType="gray125"/>
    </fill>
    <fill>
      <patternFill patternType="solid">
        <fgColor theme="0" tint="-4.9989318521683403E-2"/>
        <bgColor indexed="64"/>
      </patternFill>
    </fill>
    <fill>
      <patternFill patternType="solid">
        <fgColor theme="1" tint="0.89999084444715716"/>
        <bgColor indexed="64"/>
      </patternFill>
    </fill>
    <fill>
      <patternFill patternType="solid">
        <fgColor rgb="FFC6EFCE"/>
      </patternFill>
    </fill>
    <fill>
      <patternFill patternType="solid">
        <fgColor rgb="FFCCFFCC"/>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theme="7" tint="0.79998168889431442"/>
      </patternFill>
    </fill>
    <fill>
      <patternFill patternType="solid">
        <fgColor theme="7"/>
        <bgColor theme="7"/>
      </patternFill>
    </fill>
    <fill>
      <patternFill patternType="solid">
        <fgColor theme="0" tint="-0.249977111117893"/>
        <bgColor indexed="64"/>
      </patternFill>
    </fill>
    <fill>
      <patternFill patternType="solid">
        <fgColor theme="4" tint="0.79998168889431442"/>
        <bgColor indexed="64"/>
      </patternFill>
    </fill>
  </fills>
  <borders count="10">
    <border>
      <left/>
      <right/>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rgb="FF000000"/>
      </left>
      <right style="thin">
        <color rgb="FF000000"/>
      </right>
      <top style="thin">
        <color rgb="FF000000"/>
      </top>
      <bottom style="thin">
        <color rgb="FF000000"/>
      </bottom>
      <diagonal/>
    </border>
    <border>
      <left style="thin">
        <color theme="3" tint="-0.249977111117893"/>
      </left>
      <right style="thin">
        <color theme="3" tint="-0.249977111117893"/>
      </right>
      <top style="thin">
        <color theme="3" tint="-0.249977111117893"/>
      </top>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bottom style="thin">
        <color theme="4"/>
      </bottom>
      <diagonal/>
    </border>
    <border>
      <left style="thin">
        <color theme="7" tint="0.39997558519241921"/>
      </left>
      <right/>
      <top/>
      <bottom style="thin">
        <color theme="7" tint="0.39997558519241921"/>
      </bottom>
      <diagonal/>
    </border>
    <border>
      <left/>
      <right/>
      <top/>
      <bottom style="thin">
        <color theme="7" tint="0.39997558519241921"/>
      </bottom>
      <diagonal/>
    </border>
    <border>
      <left/>
      <right style="thin">
        <color theme="7" tint="0.39997558519241921"/>
      </right>
      <top/>
      <bottom style="thin">
        <color theme="7" tint="0.39997558519241921"/>
      </bottom>
      <diagonal/>
    </border>
  </borders>
  <cellStyleXfs count="4">
    <xf numFmtId="0" fontId="0" fillId="0" borderId="0"/>
    <xf numFmtId="0" fontId="8" fillId="0" borderId="0" applyNumberFormat="0" applyFill="0" applyBorder="0" applyAlignment="0" applyProtection="0"/>
    <xf numFmtId="0" fontId="13" fillId="4" borderId="0" applyNumberFormat="0" applyBorder="0" applyAlignment="0" applyProtection="0"/>
    <xf numFmtId="0" fontId="23" fillId="0" borderId="0"/>
  </cellStyleXfs>
  <cellXfs count="204">
    <xf numFmtId="0" fontId="0" fillId="0" borderId="0" xfId="0"/>
    <xf numFmtId="14" fontId="2" fillId="0" borderId="1" xfId="0" applyNumberFormat="1"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14" fontId="3" fillId="0" borderId="1" xfId="0" applyNumberFormat="1" applyFont="1" applyBorder="1" applyAlignment="1">
      <alignment vertical="center"/>
    </xf>
    <xf numFmtId="0" fontId="3" fillId="0" borderId="1" xfId="0" applyFont="1" applyBorder="1" applyAlignment="1">
      <alignment vertical="center"/>
    </xf>
    <xf numFmtId="0" fontId="2" fillId="0" borderId="1" xfId="0" applyFont="1" applyBorder="1" applyAlignment="1">
      <alignment horizontal="left" vertical="center" wrapText="1"/>
    </xf>
    <xf numFmtId="14" fontId="2" fillId="2" borderId="1" xfId="0" applyNumberFormat="1" applyFont="1" applyFill="1" applyBorder="1" applyAlignment="1">
      <alignment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2" borderId="1" xfId="0" applyFont="1" applyFill="1" applyBorder="1" applyAlignment="1">
      <alignment vertical="center"/>
    </xf>
    <xf numFmtId="14" fontId="3" fillId="2" borderId="1" xfId="0" applyNumberFormat="1" applyFont="1" applyFill="1" applyBorder="1" applyAlignment="1">
      <alignment vertical="center"/>
    </xf>
    <xf numFmtId="0" fontId="3" fillId="2" borderId="1" xfId="0" applyFont="1" applyFill="1" applyBorder="1" applyAlignment="1">
      <alignment vertical="center" wrapText="1"/>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8" fillId="0" borderId="0" xfId="1" applyAlignment="1">
      <alignment horizontal="left" vertical="center"/>
    </xf>
    <xf numFmtId="14" fontId="2" fillId="0" borderId="1" xfId="0" applyNumberFormat="1" applyFont="1" applyBorder="1" applyAlignment="1">
      <alignment vertical="center" wrapText="1"/>
    </xf>
    <xf numFmtId="14" fontId="2" fillId="2" borderId="1" xfId="0" applyNumberFormat="1" applyFont="1" applyFill="1" applyBorder="1" applyAlignment="1">
      <alignment vertical="center" wrapText="1"/>
    </xf>
    <xf numFmtId="14" fontId="10" fillId="0" borderId="0" xfId="0" applyNumberFormat="1" applyFont="1"/>
    <xf numFmtId="0" fontId="10" fillId="0" borderId="0" xfId="0" applyFont="1"/>
    <xf numFmtId="0" fontId="11" fillId="0" borderId="0" xfId="0" applyFont="1" applyAlignment="1">
      <alignment horizontal="left" vertical="center" wrapText="1"/>
    </xf>
    <xf numFmtId="0" fontId="12" fillId="0" borderId="1" xfId="0" applyFont="1" applyBorder="1" applyAlignment="1">
      <alignment horizontal="left" vertical="center" wrapText="1"/>
    </xf>
    <xf numFmtId="14" fontId="2" fillId="0" borderId="1" xfId="0" applyNumberFormat="1" applyFont="1" applyBorder="1" applyAlignment="1">
      <alignment horizontal="left" vertical="center" wrapText="1"/>
    </xf>
    <xf numFmtId="14" fontId="2" fillId="3" borderId="1" xfId="0" applyNumberFormat="1" applyFont="1" applyFill="1" applyBorder="1" applyAlignment="1">
      <alignment vertical="center"/>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4" fontId="3" fillId="3" borderId="1" xfId="0" applyNumberFormat="1" applyFont="1" applyFill="1" applyBorder="1" applyAlignment="1">
      <alignment vertical="center"/>
    </xf>
    <xf numFmtId="0" fontId="4" fillId="3" borderId="1" xfId="0" applyFont="1" applyFill="1" applyBorder="1" applyAlignment="1">
      <alignment horizontal="center" vertical="center"/>
    </xf>
    <xf numFmtId="0" fontId="3" fillId="3" borderId="1" xfId="0" applyFont="1" applyFill="1" applyBorder="1" applyAlignment="1">
      <alignment vertical="center"/>
    </xf>
    <xf numFmtId="0" fontId="6" fillId="3" borderId="1" xfId="0" applyFont="1" applyFill="1" applyBorder="1" applyAlignment="1">
      <alignment horizontal="center" vertical="center"/>
    </xf>
    <xf numFmtId="0" fontId="3" fillId="3"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vertical="center"/>
    </xf>
    <xf numFmtId="14" fontId="2" fillId="3" borderId="1" xfId="0" applyNumberFormat="1" applyFont="1" applyFill="1" applyBorder="1" applyAlignment="1">
      <alignment horizontal="left" vertical="center" wrapText="1"/>
    </xf>
    <xf numFmtId="14" fontId="2" fillId="3" borderId="1" xfId="0" applyNumberFormat="1" applyFont="1" applyFill="1" applyBorder="1" applyAlignment="1">
      <alignment vertical="center" wrapText="1"/>
    </xf>
    <xf numFmtId="14" fontId="2" fillId="2" borderId="1" xfId="0" applyNumberFormat="1" applyFont="1" applyFill="1" applyBorder="1" applyAlignment="1">
      <alignment horizontal="left" vertical="center" wrapText="1"/>
    </xf>
    <xf numFmtId="0" fontId="6" fillId="2" borderId="1" xfId="0" applyFont="1" applyFill="1" applyBorder="1" applyAlignment="1">
      <alignment horizontal="center" vertical="center"/>
    </xf>
    <xf numFmtId="0" fontId="0" fillId="2" borderId="1" xfId="0" applyFill="1" applyBorder="1" applyAlignment="1">
      <alignment vertical="center"/>
    </xf>
    <xf numFmtId="0" fontId="9" fillId="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14" fontId="3" fillId="0" borderId="1" xfId="0" applyNumberFormat="1" applyFont="1" applyBorder="1" applyAlignment="1">
      <alignment vertical="center" wrapText="1"/>
    </xf>
    <xf numFmtId="0" fontId="13" fillId="4" borderId="1" xfId="2" applyBorder="1" applyAlignment="1">
      <alignment horizontal="left" vertical="center" wrapText="1"/>
    </xf>
    <xf numFmtId="0" fontId="14" fillId="0" borderId="1" xfId="0" applyFont="1" applyBorder="1" applyAlignment="1">
      <alignment vertical="center" wrapText="1"/>
    </xf>
    <xf numFmtId="14" fontId="16" fillId="0" borderId="1" xfId="0" applyNumberFormat="1" applyFont="1" applyBorder="1" applyAlignment="1">
      <alignment vertical="center"/>
    </xf>
    <xf numFmtId="0" fontId="17" fillId="2" borderId="0" xfId="0" applyFont="1" applyFill="1" applyAlignment="1">
      <alignment horizontal="left" vertical="center" wrapText="1"/>
    </xf>
    <xf numFmtId="0" fontId="19" fillId="0" borderId="0" xfId="0" applyFont="1" applyAlignment="1">
      <alignment vertical="center"/>
    </xf>
    <xf numFmtId="0" fontId="18" fillId="0" borderId="0" xfId="0" applyFont="1"/>
    <xf numFmtId="0" fontId="19" fillId="0" borderId="0" xfId="0" applyFont="1"/>
    <xf numFmtId="0" fontId="20" fillId="0" borderId="0" xfId="0" applyFont="1" applyAlignment="1">
      <alignment horizontal="center"/>
    </xf>
    <xf numFmtId="0" fontId="17" fillId="2" borderId="0" xfId="0" applyFont="1" applyFill="1" applyAlignment="1">
      <alignment horizontal="left" vertical="center"/>
    </xf>
    <xf numFmtId="14" fontId="2" fillId="0" borderId="1" xfId="0" applyNumberFormat="1" applyFont="1" applyBorder="1" applyAlignment="1">
      <alignment horizontal="left" vertical="center"/>
    </xf>
    <xf numFmtId="14" fontId="2" fillId="0" borderId="1" xfId="0" applyNumberFormat="1" applyFont="1" applyBorder="1" applyAlignment="1">
      <alignment horizontal="center" vertical="center"/>
    </xf>
    <xf numFmtId="0" fontId="2" fillId="5" borderId="1" xfId="0" applyFont="1" applyFill="1" applyBorder="1" applyAlignment="1">
      <alignment horizontal="left" vertical="center" wrapText="1"/>
    </xf>
    <xf numFmtId="0" fontId="6" fillId="0" borderId="1" xfId="0" applyFont="1" applyBorder="1" applyAlignment="1">
      <alignment horizontal="left" vertical="center"/>
    </xf>
    <xf numFmtId="0" fontId="19" fillId="0" borderId="0" xfId="0" applyFont="1" applyAlignment="1">
      <alignment horizontal="left" wrapText="1"/>
    </xf>
    <xf numFmtId="0" fontId="17" fillId="2" borderId="0" xfId="0" applyFont="1" applyFill="1" applyAlignment="1">
      <alignment horizontal="center" vertical="center"/>
    </xf>
    <xf numFmtId="14" fontId="2" fillId="0" borderId="1" xfId="0" applyNumberFormat="1" applyFont="1" applyBorder="1" applyAlignment="1">
      <alignment horizontal="center" vertical="center" wrapText="1"/>
    </xf>
    <xf numFmtId="0" fontId="19" fillId="0" borderId="0" xfId="0" applyFont="1" applyAlignment="1">
      <alignment horizontal="center"/>
    </xf>
    <xf numFmtId="14" fontId="2" fillId="7" borderId="1" xfId="0" applyNumberFormat="1" applyFont="1" applyFill="1" applyBorder="1" applyAlignment="1">
      <alignment horizontal="left" vertical="center"/>
    </xf>
    <xf numFmtId="0" fontId="2" fillId="8" borderId="1" xfId="0" applyFont="1" applyFill="1" applyBorder="1" applyAlignment="1">
      <alignment horizontal="left" vertical="center" wrapText="1"/>
    </xf>
    <xf numFmtId="14" fontId="21" fillId="0" borderId="1" xfId="0" applyNumberFormat="1" applyFont="1" applyBorder="1" applyAlignment="1">
      <alignment horizontal="left" vertical="center" wrapText="1"/>
    </xf>
    <xf numFmtId="14" fontId="2" fillId="7" borderId="1" xfId="0" applyNumberFormat="1" applyFont="1" applyFill="1" applyBorder="1" applyAlignment="1">
      <alignment horizontal="center" vertical="center"/>
    </xf>
    <xf numFmtId="0" fontId="22" fillId="0" borderId="1" xfId="0"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2" xfId="0" applyNumberFormat="1" applyFont="1" applyBorder="1" applyAlignment="1">
      <alignment horizontal="center" vertical="center"/>
    </xf>
    <xf numFmtId="0" fontId="6" fillId="0" borderId="2" xfId="0" applyFont="1" applyBorder="1" applyAlignment="1">
      <alignment horizontal="left" vertical="center"/>
    </xf>
    <xf numFmtId="0" fontId="2" fillId="0" borderId="2" xfId="0" applyFont="1" applyBorder="1" applyAlignment="1">
      <alignment horizontal="left" vertical="center" wrapText="1"/>
    </xf>
    <xf numFmtId="14" fontId="2" fillId="0" borderId="3" xfId="0" applyNumberFormat="1" applyFont="1" applyBorder="1" applyAlignment="1">
      <alignment horizontal="left" vertical="center" wrapText="1"/>
    </xf>
    <xf numFmtId="14" fontId="2" fillId="0" borderId="3" xfId="0" applyNumberFormat="1" applyFont="1" applyBorder="1" applyAlignment="1">
      <alignment horizontal="center" vertical="center"/>
    </xf>
    <xf numFmtId="0" fontId="6" fillId="0" borderId="3" xfId="0" applyFont="1" applyBorder="1" applyAlignment="1">
      <alignment horizontal="left" vertical="center"/>
    </xf>
    <xf numFmtId="0" fontId="2" fillId="0" borderId="3" xfId="0" applyFont="1" applyBorder="1" applyAlignment="1">
      <alignment horizontal="left" vertical="center" wrapText="1"/>
    </xf>
    <xf numFmtId="0" fontId="23" fillId="0" borderId="0" xfId="3"/>
    <xf numFmtId="0" fontId="24" fillId="0" borderId="0" xfId="3" applyFont="1"/>
    <xf numFmtId="14" fontId="24" fillId="0" borderId="0" xfId="3" applyNumberFormat="1" applyFont="1"/>
    <xf numFmtId="0" fontId="23" fillId="0" borderId="0" xfId="3" applyAlignment="1">
      <alignment vertical="center" wrapText="1"/>
    </xf>
    <xf numFmtId="0" fontId="23" fillId="0" borderId="0" xfId="3" applyAlignment="1">
      <alignment horizontal="center" vertical="center" wrapText="1"/>
    </xf>
    <xf numFmtId="0" fontId="25" fillId="0" borderId="0" xfId="3" applyFont="1" applyAlignment="1">
      <alignment vertical="top"/>
    </xf>
    <xf numFmtId="0" fontId="23" fillId="0" borderId="0" xfId="3" applyAlignment="1">
      <alignment vertical="top"/>
    </xf>
    <xf numFmtId="14" fontId="23" fillId="0" borderId="0" xfId="3" applyNumberFormat="1" applyAlignment="1">
      <alignment horizontal="center" vertical="center" wrapText="1"/>
    </xf>
    <xf numFmtId="0" fontId="0" fillId="0" borderId="0" xfId="3" applyFont="1" applyAlignment="1">
      <alignment vertical="center" wrapText="1"/>
    </xf>
    <xf numFmtId="0" fontId="25" fillId="0" borderId="0" xfId="3" applyFont="1" applyAlignment="1">
      <alignment horizontal="center" vertical="top"/>
    </xf>
    <xf numFmtId="0" fontId="26" fillId="0" borderId="0" xfId="3" applyFont="1" applyAlignment="1">
      <alignment horizontal="center" vertical="center" wrapText="1"/>
    </xf>
    <xf numFmtId="0" fontId="29" fillId="0" borderId="0" xfId="3" applyFont="1" applyAlignment="1">
      <alignment vertical="center" wrapText="1"/>
    </xf>
    <xf numFmtId="0" fontId="30" fillId="0" borderId="0" xfId="3" applyFont="1" applyAlignment="1">
      <alignment vertical="center" wrapText="1"/>
    </xf>
    <xf numFmtId="0" fontId="0" fillId="0" borderId="0" xfId="3" applyFont="1" applyAlignment="1">
      <alignment horizontal="center" vertical="center" wrapText="1"/>
    </xf>
    <xf numFmtId="14" fontId="0" fillId="0" borderId="0" xfId="3" applyNumberFormat="1" applyFont="1" applyAlignment="1">
      <alignment horizontal="center" vertical="center" wrapText="1"/>
    </xf>
    <xf numFmtId="0" fontId="23" fillId="9" borderId="4" xfId="3" applyFill="1" applyBorder="1" applyAlignment="1">
      <alignment vertical="center" wrapText="1"/>
    </xf>
    <xf numFmtId="14" fontId="23" fillId="9" borderId="4" xfId="3" applyNumberFormat="1" applyFill="1" applyBorder="1" applyAlignment="1">
      <alignment horizontal="center" vertical="center" wrapText="1"/>
    </xf>
    <xf numFmtId="0" fontId="23" fillId="9" borderId="4" xfId="3" applyFill="1" applyBorder="1" applyAlignment="1">
      <alignment horizontal="center" vertical="center" wrapText="1"/>
    </xf>
    <xf numFmtId="0" fontId="23" fillId="9" borderId="5" xfId="3" applyFill="1" applyBorder="1" applyAlignment="1">
      <alignment vertical="center" wrapText="1"/>
    </xf>
    <xf numFmtId="14" fontId="0" fillId="9" borderId="4" xfId="3" applyNumberFormat="1" applyFont="1" applyFill="1" applyBorder="1" applyAlignment="1">
      <alignment horizontal="center" vertical="center" wrapText="1"/>
    </xf>
    <xf numFmtId="0" fontId="26" fillId="0" borderId="0" xfId="3" applyFont="1" applyAlignment="1">
      <alignment horizontal="center"/>
    </xf>
    <xf numFmtId="0" fontId="26" fillId="0" borderId="6" xfId="3" applyFont="1" applyBorder="1" applyAlignment="1">
      <alignment horizontal="center" vertical="center" wrapText="1"/>
    </xf>
    <xf numFmtId="0" fontId="26" fillId="0" borderId="0" xfId="3" applyFont="1" applyAlignment="1">
      <alignment vertical="center" wrapText="1"/>
    </xf>
    <xf numFmtId="0" fontId="10" fillId="0" borderId="0" xfId="0" applyFont="1" applyAlignment="1">
      <alignment vertical="center"/>
    </xf>
    <xf numFmtId="14" fontId="2" fillId="0" borderId="0" xfId="0" applyNumberFormat="1" applyFont="1"/>
    <xf numFmtId="0" fontId="14" fillId="0" borderId="1" xfId="0" applyFont="1" applyBorder="1" applyAlignment="1">
      <alignment horizontal="left" vertical="center" wrapText="1"/>
    </xf>
    <xf numFmtId="14" fontId="14" fillId="0" borderId="1" xfId="0" applyNumberFormat="1" applyFont="1" applyBorder="1" applyAlignment="1">
      <alignment horizontal="center" vertical="center"/>
    </xf>
    <xf numFmtId="14" fontId="14" fillId="0" borderId="1" xfId="0" applyNumberFormat="1" applyFont="1" applyBorder="1" applyAlignment="1">
      <alignment vertical="center"/>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14" fontId="2" fillId="0" borderId="3" xfId="0" applyNumberFormat="1" applyFont="1" applyBorder="1" applyAlignment="1">
      <alignment horizontal="left" vertical="center"/>
    </xf>
    <xf numFmtId="14" fontId="2" fillId="0" borderId="2" xfId="0" applyNumberFormat="1" applyFont="1" applyBorder="1" applyAlignment="1">
      <alignment horizontal="left" vertical="center"/>
    </xf>
    <xf numFmtId="0" fontId="23" fillId="0" borderId="0" xfId="3" applyAlignment="1">
      <alignment wrapText="1"/>
    </xf>
    <xf numFmtId="0" fontId="25" fillId="0" borderId="0" xfId="3" applyFont="1" applyAlignment="1">
      <alignment vertical="top" wrapText="1"/>
    </xf>
    <xf numFmtId="0" fontId="23" fillId="9" borderId="0" xfId="3" applyFill="1" applyAlignment="1">
      <alignment horizontal="center" vertical="center" wrapText="1"/>
    </xf>
    <xf numFmtId="0" fontId="33" fillId="0" borderId="0" xfId="0" applyFont="1" applyAlignment="1">
      <alignment wrapText="1"/>
    </xf>
    <xf numFmtId="0" fontId="34" fillId="0" borderId="0" xfId="3" applyFont="1" applyAlignment="1">
      <alignment vertical="center" wrapText="1"/>
    </xf>
    <xf numFmtId="0" fontId="35" fillId="0" borderId="0" xfId="3" applyFont="1" applyAlignment="1">
      <alignment vertical="center" wrapText="1"/>
    </xf>
    <xf numFmtId="0" fontId="36" fillId="0" borderId="0" xfId="3" applyFont="1" applyAlignment="1">
      <alignment vertical="center" wrapText="1"/>
    </xf>
    <xf numFmtId="0" fontId="37" fillId="0" borderId="0" xfId="3" applyFont="1" applyAlignment="1">
      <alignment vertical="center" wrapText="1"/>
    </xf>
    <xf numFmtId="0" fontId="38" fillId="0" borderId="0" xfId="3" applyFont="1" applyAlignment="1">
      <alignment horizontal="center" vertical="center" wrapText="1"/>
    </xf>
    <xf numFmtId="0" fontId="23" fillId="0" borderId="0" xfId="3" applyAlignment="1">
      <alignment vertical="center"/>
    </xf>
    <xf numFmtId="0" fontId="0" fillId="0" borderId="0" xfId="3" applyFont="1" applyAlignment="1">
      <alignment vertical="center"/>
    </xf>
    <xf numFmtId="0" fontId="0" fillId="0" borderId="0" xfId="0" applyAlignment="1">
      <alignment wrapText="1"/>
    </xf>
    <xf numFmtId="0" fontId="39" fillId="10" borderId="8" xfId="3" applyFont="1" applyFill="1" applyBorder="1" applyAlignment="1">
      <alignment vertical="top"/>
    </xf>
    <xf numFmtId="0" fontId="39" fillId="10" borderId="8" xfId="3" applyFont="1" applyFill="1" applyBorder="1" applyAlignment="1">
      <alignment vertical="top" wrapText="1"/>
    </xf>
    <xf numFmtId="0" fontId="39" fillId="10" borderId="9" xfId="3" applyFont="1" applyFill="1" applyBorder="1" applyAlignment="1">
      <alignment vertical="top" wrapText="1"/>
    </xf>
    <xf numFmtId="0" fontId="26" fillId="0" borderId="0" xfId="3" applyFont="1" applyAlignment="1">
      <alignment horizontal="left" vertical="center"/>
    </xf>
    <xf numFmtId="0" fontId="39" fillId="10" borderId="7" xfId="3" applyFont="1" applyFill="1" applyBorder="1" applyAlignment="1">
      <alignment horizontal="left" vertical="center"/>
    </xf>
    <xf numFmtId="0" fontId="0" fillId="0" borderId="0" xfId="0" applyAlignment="1">
      <alignment horizontal="left" vertical="center"/>
    </xf>
    <xf numFmtId="0" fontId="8" fillId="0" borderId="0" xfId="1"/>
    <xf numFmtId="14" fontId="0" fillId="0" borderId="0" xfId="0" applyNumberFormat="1"/>
    <xf numFmtId="0" fontId="24" fillId="0" borderId="0" xfId="3" applyFont="1" applyAlignment="1">
      <alignment vertical="center"/>
    </xf>
    <xf numFmtId="14" fontId="24" fillId="0" borderId="0" xfId="3" applyNumberFormat="1" applyFont="1" applyAlignment="1">
      <alignment vertical="center"/>
    </xf>
    <xf numFmtId="0" fontId="0" fillId="0" borderId="0" xfId="0" applyAlignment="1">
      <alignment vertical="center"/>
    </xf>
    <xf numFmtId="0" fontId="39" fillId="10" borderId="8" xfId="3" applyFont="1" applyFill="1" applyBorder="1" applyAlignment="1">
      <alignment vertical="center"/>
    </xf>
    <xf numFmtId="0" fontId="39" fillId="10" borderId="8" xfId="3" applyFont="1" applyFill="1" applyBorder="1" applyAlignment="1">
      <alignment vertical="center" wrapText="1"/>
    </xf>
    <xf numFmtId="0" fontId="39" fillId="10" borderId="9" xfId="3" applyFont="1" applyFill="1" applyBorder="1" applyAlignment="1">
      <alignment vertical="center" wrapText="1"/>
    </xf>
    <xf numFmtId="0" fontId="0" fillId="0" borderId="0" xfId="0" applyAlignment="1">
      <alignment vertical="center" wrapText="1"/>
    </xf>
    <xf numFmtId="0" fontId="8" fillId="0" borderId="0" xfId="1" applyAlignment="1">
      <alignment vertical="center"/>
    </xf>
    <xf numFmtId="14" fontId="0" fillId="0" borderId="0" xfId="0" applyNumberFormat="1" applyAlignment="1">
      <alignment vertical="center"/>
    </xf>
    <xf numFmtId="14" fontId="23" fillId="0" borderId="0" xfId="3" applyNumberFormat="1" applyAlignment="1">
      <alignment vertical="center"/>
    </xf>
    <xf numFmtId="14" fontId="39" fillId="10" borderId="8" xfId="3" applyNumberFormat="1" applyFont="1" applyFill="1" applyBorder="1" applyAlignment="1">
      <alignment vertical="center" wrapText="1"/>
    </xf>
    <xf numFmtId="14" fontId="0" fillId="0" borderId="0" xfId="0" applyNumberFormat="1" applyAlignment="1">
      <alignment vertical="center" wrapText="1"/>
    </xf>
    <xf numFmtId="0" fontId="1" fillId="0" borderId="0" xfId="3" applyFont="1" applyAlignment="1">
      <alignment horizontal="center" vertical="center" wrapText="1"/>
    </xf>
    <xf numFmtId="0" fontId="1" fillId="0" borderId="0" xfId="3" applyFont="1" applyAlignment="1">
      <alignment vertical="center" wrapText="1"/>
    </xf>
    <xf numFmtId="14" fontId="1" fillId="0" borderId="0" xfId="3" applyNumberFormat="1" applyFont="1" applyAlignment="1">
      <alignment horizontal="center" vertical="center" wrapText="1"/>
    </xf>
    <xf numFmtId="0" fontId="1" fillId="9" borderId="4" xfId="3" applyFont="1" applyFill="1" applyBorder="1" applyAlignment="1">
      <alignment vertical="center" wrapText="1"/>
    </xf>
    <xf numFmtId="0" fontId="1" fillId="9" borderId="0" xfId="3" applyFont="1" applyFill="1" applyAlignment="1">
      <alignment vertical="center" wrapText="1"/>
    </xf>
    <xf numFmtId="0" fontId="44" fillId="0" borderId="0" xfId="3" applyFont="1" applyAlignment="1">
      <alignment vertical="center" wrapText="1"/>
    </xf>
    <xf numFmtId="0" fontId="47" fillId="0" borderId="0" xfId="0" applyFont="1" applyAlignment="1">
      <alignment vertical="center"/>
    </xf>
    <xf numFmtId="0" fontId="47" fillId="0" borderId="0" xfId="3" applyFont="1" applyAlignment="1">
      <alignment vertical="center" wrapText="1"/>
    </xf>
    <xf numFmtId="0" fontId="49" fillId="0" borderId="6" xfId="3" applyFont="1" applyBorder="1" applyAlignment="1">
      <alignment horizontal="center" vertical="center" wrapText="1"/>
    </xf>
    <xf numFmtId="0" fontId="51" fillId="0" borderId="0" xfId="3" applyFont="1" applyAlignment="1">
      <alignment vertical="center" wrapText="1"/>
    </xf>
    <xf numFmtId="14" fontId="23" fillId="0" borderId="0" xfId="3" applyNumberFormat="1" applyAlignment="1">
      <alignment vertical="center" wrapText="1"/>
    </xf>
    <xf numFmtId="0" fontId="52" fillId="10" borderId="7" xfId="3" applyFont="1" applyFill="1" applyBorder="1" applyAlignment="1">
      <alignment horizontal="left" vertical="center"/>
    </xf>
    <xf numFmtId="0" fontId="52" fillId="10" borderId="8" xfId="3" applyFont="1" applyFill="1" applyBorder="1" applyAlignment="1">
      <alignment vertical="center"/>
    </xf>
    <xf numFmtId="0" fontId="52" fillId="10" borderId="8" xfId="3" applyFont="1" applyFill="1" applyBorder="1" applyAlignment="1">
      <alignment vertical="center" wrapText="1"/>
    </xf>
    <xf numFmtId="0" fontId="2" fillId="0" borderId="0" xfId="0" applyFont="1" applyAlignment="1">
      <alignment horizontal="left" vertical="center"/>
    </xf>
    <xf numFmtId="0" fontId="53" fillId="9" borderId="4" xfId="3" applyFont="1" applyFill="1" applyBorder="1" applyAlignment="1">
      <alignment vertical="center" wrapText="1"/>
    </xf>
    <xf numFmtId="0" fontId="53" fillId="9" borderId="0" xfId="3" applyFont="1" applyFill="1" applyAlignment="1">
      <alignment vertical="center" wrapText="1"/>
    </xf>
    <xf numFmtId="0" fontId="2" fillId="0" borderId="0" xfId="0" applyFont="1" applyAlignment="1">
      <alignment vertical="center" wrapText="1"/>
    </xf>
    <xf numFmtId="0" fontId="60" fillId="0" borderId="0" xfId="0" applyFont="1" applyAlignment="1">
      <alignment vertical="center" wrapText="1"/>
    </xf>
    <xf numFmtId="0" fontId="51" fillId="0" borderId="0" xfId="0" applyFont="1" applyAlignment="1">
      <alignment vertical="center"/>
    </xf>
    <xf numFmtId="0" fontId="22" fillId="7" borderId="0" xfId="0" applyFont="1" applyFill="1" applyAlignment="1">
      <alignment vertical="center"/>
    </xf>
    <xf numFmtId="0" fontId="61" fillId="0" borderId="0" xfId="0" applyFont="1"/>
    <xf numFmtId="14" fontId="47" fillId="0" borderId="0" xfId="3" applyNumberFormat="1" applyFont="1" applyAlignment="1">
      <alignment horizontal="center" vertical="center" wrapText="1"/>
    </xf>
    <xf numFmtId="0" fontId="23" fillId="11" borderId="0" xfId="3" applyFill="1" applyAlignment="1">
      <alignment vertical="center" wrapText="1"/>
    </xf>
    <xf numFmtId="0" fontId="0" fillId="12" borderId="0" xfId="0" applyFill="1" applyAlignment="1">
      <alignment vertical="center"/>
    </xf>
    <xf numFmtId="0" fontId="2" fillId="12" borderId="0" xfId="0" applyFont="1" applyFill="1" applyAlignment="1">
      <alignment horizontal="left" vertical="center"/>
    </xf>
    <xf numFmtId="0" fontId="2" fillId="12" borderId="0" xfId="0" applyFont="1" applyFill="1" applyAlignment="1">
      <alignment vertical="center" wrapText="1"/>
    </xf>
    <xf numFmtId="0" fontId="54" fillId="12" borderId="0" xfId="0" applyFont="1" applyFill="1" applyAlignment="1">
      <alignment vertical="center" wrapText="1"/>
    </xf>
    <xf numFmtId="0" fontId="8" fillId="12" borderId="0" xfId="1" applyFill="1" applyAlignment="1">
      <alignment vertical="center"/>
    </xf>
    <xf numFmtId="14" fontId="0" fillId="12" borderId="0" xfId="0" applyNumberFormat="1" applyFill="1" applyAlignment="1">
      <alignment vertical="center" wrapText="1"/>
    </xf>
    <xf numFmtId="0" fontId="0" fillId="12" borderId="0" xfId="0" applyFill="1" applyAlignment="1">
      <alignment vertical="center" wrapText="1"/>
    </xf>
    <xf numFmtId="0" fontId="15" fillId="12" borderId="0" xfId="0" applyFont="1" applyFill="1" applyAlignment="1">
      <alignment vertical="center" wrapText="1"/>
    </xf>
    <xf numFmtId="0" fontId="8" fillId="12" borderId="0" xfId="1" applyFill="1"/>
    <xf numFmtId="0" fontId="64" fillId="12" borderId="0" xfId="0" applyFont="1" applyFill="1" applyAlignment="1">
      <alignment vertical="center" wrapText="1"/>
    </xf>
    <xf numFmtId="0" fontId="65" fillId="0" borderId="0" xfId="0" applyFont="1"/>
    <xf numFmtId="0" fontId="66" fillId="0" borderId="0" xfId="0" applyFont="1" applyAlignment="1">
      <alignment wrapText="1"/>
    </xf>
    <xf numFmtId="0" fontId="24" fillId="0" borderId="0" xfId="3" applyFont="1" applyAlignment="1">
      <alignment wrapText="1"/>
    </xf>
    <xf numFmtId="0" fontId="67" fillId="0" borderId="0" xfId="0" applyFont="1" applyAlignment="1">
      <alignment wrapText="1"/>
    </xf>
    <xf numFmtId="0" fontId="65" fillId="0" borderId="0" xfId="0" applyFont="1" applyAlignment="1">
      <alignment wrapText="1"/>
    </xf>
    <xf numFmtId="0" fontId="1" fillId="9" borderId="4" xfId="3" applyFont="1" applyFill="1" applyBorder="1" applyAlignment="1">
      <alignment wrapText="1"/>
    </xf>
    <xf numFmtId="0" fontId="0" fillId="12" borderId="0" xfId="0" applyFill="1"/>
    <xf numFmtId="0" fontId="0" fillId="12" borderId="0" xfId="0" applyFill="1" applyAlignment="1">
      <alignment wrapText="1"/>
    </xf>
    <xf numFmtId="14" fontId="0" fillId="0" borderId="0" xfId="3" applyNumberFormat="1" applyFont="1" applyAlignment="1">
      <alignment vertical="center" wrapText="1"/>
    </xf>
    <xf numFmtId="0" fontId="22" fillId="0" borderId="0" xfId="3" applyFont="1" applyAlignment="1">
      <alignment horizontal="center" vertical="center" wrapText="1"/>
    </xf>
    <xf numFmtId="0" fontId="39" fillId="0" borderId="8" xfId="3" applyFont="1" applyBorder="1"/>
    <xf numFmtId="0" fontId="39" fillId="0" borderId="8" xfId="3" applyFont="1" applyBorder="1" applyAlignment="1">
      <alignment vertical="top"/>
    </xf>
    <xf numFmtId="0" fontId="47" fillId="0" borderId="0" xfId="0" applyFont="1" applyAlignment="1">
      <alignment wrapText="1"/>
    </xf>
    <xf numFmtId="0" fontId="1" fillId="0" borderId="4" xfId="3" applyFont="1" applyBorder="1" applyAlignment="1">
      <alignment vertical="center" wrapText="1"/>
    </xf>
    <xf numFmtId="0" fontId="70" fillId="0" borderId="0" xfId="0" applyFont="1" applyAlignment="1">
      <alignment vertical="center" wrapText="1"/>
    </xf>
    <xf numFmtId="0" fontId="8" fillId="0" borderId="0" xfId="1" applyAlignment="1">
      <alignment vertical="center" wrapText="1"/>
    </xf>
    <xf numFmtId="0" fontId="49" fillId="0" borderId="0" xfId="3" applyFont="1" applyAlignment="1">
      <alignment horizontal="center" vertical="center" wrapText="1"/>
    </xf>
    <xf numFmtId="0" fontId="71" fillId="0" borderId="0" xfId="0" applyFont="1" applyAlignment="1">
      <alignment vertical="center" wrapText="1"/>
    </xf>
    <xf numFmtId="0" fontId="73" fillId="0" borderId="0" xfId="1" applyFont="1" applyAlignment="1">
      <alignment vertical="center" wrapText="1"/>
    </xf>
    <xf numFmtId="0" fontId="22" fillId="0" borderId="0" xfId="0" applyFont="1"/>
    <xf numFmtId="14" fontId="63" fillId="0" borderId="0" xfId="3" applyNumberFormat="1" applyFont="1" applyAlignment="1">
      <alignment horizontal="center" vertical="center" wrapText="1"/>
    </xf>
    <xf numFmtId="14" fontId="74" fillId="0" borderId="0" xfId="0" applyNumberFormat="1" applyFont="1"/>
    <xf numFmtId="0" fontId="22" fillId="0" borderId="0" xfId="0" applyFont="1" applyAlignment="1">
      <alignment wrapText="1"/>
    </xf>
    <xf numFmtId="0" fontId="75" fillId="0" borderId="0" xfId="0" applyFont="1" applyAlignment="1">
      <alignment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76" fillId="0" borderId="0" xfId="0" applyFont="1" applyAlignment="1">
      <alignment vertical="center" wrapText="1"/>
    </xf>
    <xf numFmtId="0" fontId="47" fillId="0" borderId="0" xfId="3" applyFont="1" applyAlignment="1">
      <alignment horizontal="center" vertical="center" wrapText="1"/>
    </xf>
    <xf numFmtId="14" fontId="30" fillId="0" borderId="0" xfId="3" applyNumberFormat="1" applyFont="1" applyAlignment="1">
      <alignment horizontal="center" vertical="center" wrapText="1"/>
    </xf>
  </cellXfs>
  <cellStyles count="4">
    <cellStyle name="Good" xfId="2" builtinId="26"/>
    <cellStyle name="Hyperlink" xfId="1" builtinId="8"/>
    <cellStyle name="Normal" xfId="0" builtinId="0"/>
    <cellStyle name="Normal 2" xfId="3" xr:uid="{8EEDC487-FCD0-4286-82A9-95B59679E259}"/>
  </cellStyles>
  <dxfs count="44">
    <dxf>
      <alignment horizontal="general" vertical="bottom" textRotation="0" wrapText="0"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dxf>
    <dxf>
      <border outline="0">
        <bottom style="thin">
          <color theme="7" tint="0.39997558519241921"/>
        </bottom>
      </border>
    </dxf>
    <dxf>
      <border outline="0">
        <top style="thin">
          <color theme="7" tint="0.39997558519241921"/>
        </top>
      </border>
    </dxf>
    <dxf>
      <font>
        <b/>
        <i val="0"/>
        <strike val="0"/>
        <condense val="0"/>
        <extend val="0"/>
        <outline val="0"/>
        <shadow val="0"/>
        <u val="none"/>
        <vertAlign val="baseline"/>
        <sz val="11"/>
        <color theme="0"/>
        <name val="Arial"/>
        <family val="2"/>
        <scheme val="minor"/>
      </font>
      <numFmt numFmtId="0" formatCode="General"/>
      <fill>
        <patternFill patternType="solid">
          <fgColor theme="7"/>
          <bgColor theme="7"/>
        </patternFill>
      </fill>
      <alignment horizontal="general" vertical="top"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numFmt numFmtId="19" formatCode="m/d/yyyy"/>
      <alignment vertical="center"/>
    </dxf>
    <dxf>
      <alignment horizontal="general" vertical="center" textRotation="0" wrapText="0" indent="0" justifyLastLine="0" shrinkToFit="0" readingOrder="0"/>
    </dxf>
    <dxf>
      <font>
        <sz val="10"/>
      </font>
      <alignment horizontal="general" vertical="center" textRotation="0" wrapText="1" indent="0" justifyLastLine="0" shrinkToFit="0" readingOrder="0"/>
    </dxf>
    <dxf>
      <font>
        <sz val="10"/>
      </font>
      <alignment horizontal="general" vertical="center" textRotation="0" wrapText="1" indent="0" justifyLastLine="0" shrinkToFit="0" readingOrder="0"/>
    </dxf>
    <dxf>
      <font>
        <sz val="10"/>
      </font>
      <alignment horizontal="general" vertical="center" textRotation="0" wrapText="1" indent="0" justifyLastLine="0" shrinkToFit="0" readingOrder="0"/>
    </dxf>
    <dxf>
      <font>
        <sz val="10"/>
      </font>
      <alignment horizontal="general" vertical="center" textRotation="0" wrapText="1" indent="0" justifyLastLine="0" shrinkToFit="0" readingOrder="0"/>
    </dxf>
    <dxf>
      <font>
        <sz val="10"/>
      </font>
      <alignment vertical="center"/>
    </dxf>
    <dxf>
      <font>
        <sz val="10"/>
      </font>
      <alignment vertical="center"/>
    </dxf>
    <dxf>
      <font>
        <sz val="10"/>
      </font>
      <alignment horizontal="left" vertical="center"/>
    </dxf>
    <dxf>
      <border outline="0">
        <bottom style="thin">
          <color theme="7" tint="0.39997558519241921"/>
        </bottom>
      </border>
    </dxf>
    <dxf>
      <border outline="0">
        <top style="thin">
          <color theme="7" tint="0.39997558519241921"/>
        </top>
      </border>
    </dxf>
    <dxf>
      <alignment vertical="center"/>
    </dxf>
    <dxf>
      <font>
        <b/>
        <i val="0"/>
        <strike val="0"/>
        <condense val="0"/>
        <extend val="0"/>
        <outline val="0"/>
        <shadow val="0"/>
        <u val="none"/>
        <vertAlign val="baseline"/>
        <sz val="11"/>
        <color theme="0"/>
        <name val="Arial"/>
        <family val="2"/>
        <scheme val="minor"/>
      </font>
      <numFmt numFmtId="0" formatCode="General"/>
      <fill>
        <patternFill patternType="solid">
          <fgColor theme="7"/>
          <bgColor theme="7"/>
        </patternFill>
      </fill>
      <alignment horizontal="general" vertical="center" textRotation="0" wrapText="0" indent="0" justifyLastLine="0" shrinkToFit="0" readingOrder="0"/>
    </dxf>
    <dxf>
      <alignment vertical="center"/>
    </dxf>
    <dxf>
      <alignment vertical="cent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center" wrapText="1"/>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1"/>
        <color auto="1"/>
        <name val="Arial"/>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right/>
        <top/>
        <bottom style="thin">
          <color theme="4"/>
        </bottom>
      </border>
    </dxf>
    <dxf>
      <alignment vertical="center"/>
    </dxf>
    <dxf>
      <font>
        <strike val="0"/>
        <outline val="0"/>
        <shadow val="0"/>
        <u val="none"/>
        <vertAlign val="baseline"/>
        <sz val="11"/>
        <color theme="0"/>
        <name val="Arial"/>
        <family val="2"/>
        <scheme val="minor"/>
      </font>
      <alignment vertical="top" textRotation="0" wrapText="0" indent="0" justifyLastLine="0" shrinkToFit="0" readingOrder="0"/>
    </dxf>
  </dxfs>
  <tableStyles count="0" defaultTableStyle="TableStyleMedium2" defaultPivotStyle="PivotStyleLight16"/>
  <colors>
    <mruColors>
      <color rgb="FFCCFFCC"/>
      <color rgb="FF042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381000</xdr:colOff>
      <xdr:row>50</xdr:row>
      <xdr:rowOff>342900</xdr:rowOff>
    </xdr:from>
    <xdr:to>
      <xdr:col>20</xdr:col>
      <xdr:colOff>142875</xdr:colOff>
      <xdr:row>122</xdr:row>
      <xdr:rowOff>280035</xdr:rowOff>
    </xdr:to>
    <xdr:pic>
      <xdr:nvPicPr>
        <xdr:cNvPr id="8" name="Рисунок 7">
          <a:extLst>
            <a:ext uri="{FF2B5EF4-FFF2-40B4-BE49-F238E27FC236}">
              <a16:creationId xmlns:a16="http://schemas.microsoft.com/office/drawing/2014/main" id="{73E82D39-36E1-9F52-15DA-D0A07BABC489}"/>
            </a:ext>
            <a:ext uri="{147F2762-F138-4A5C-976F-8EAC2B608ADB}">
              <a16:predDERef xmlns:a16="http://schemas.microsoft.com/office/drawing/2014/main" pred="{ACC13191-DFC5-765D-D682-150344A77527}"/>
            </a:ext>
          </a:extLst>
        </xdr:cNvPr>
        <xdr:cNvPicPr>
          <a:picLocks noChangeAspect="1"/>
        </xdr:cNvPicPr>
      </xdr:nvPicPr>
      <xdr:blipFill>
        <a:blip xmlns:r="http://schemas.openxmlformats.org/officeDocument/2006/relationships" r:embed="rId1"/>
        <a:stretch>
          <a:fillRect/>
        </a:stretch>
      </xdr:blipFill>
      <xdr:spPr>
        <a:xfrm>
          <a:off x="16706850" y="1162050"/>
          <a:ext cx="4562475" cy="155829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13EF8-4C24-4981-8855-ACC7A6916884}" name="Таблица1" displayName="Таблица1" ref="B3:O261" totalsRowShown="0" headerRowDxfId="43" dataDxfId="42">
  <autoFilter ref="B3:O261" xr:uid="{7274A66A-306B-40DA-9BA4-B316A435E84E}">
    <filterColumn colId="10">
      <filters>
        <filter val="Not completed"/>
      </filters>
    </filterColumn>
  </autoFilter>
  <tableColumns count="14">
    <tableColumn id="12" xr3:uid="{A91FBBD0-14A2-4274-B480-4D40A9CA6B63}" name="№" dataDxfId="41" dataCellStyle="Normal 2"/>
    <tableColumn id="13" xr3:uid="{BB74A198-5CB4-4498-BC88-06C9E9D6B508}" name="Type" dataDxfId="40"/>
    <tableColumn id="14" xr3:uid="{2DB21972-44EB-4E2B-9ABA-D7E3959E0D4E}" name="SOW" dataDxfId="39"/>
    <tableColumn id="15" xr3:uid="{88903EED-ADA6-4644-BD2F-A095513864F9}" name="Subject" dataDxfId="38"/>
    <tableColumn id="16" xr3:uid="{051577B7-00D4-40B9-8D82-153CE366E31F}" name="Main arrangements" dataDxfId="37"/>
    <tableColumn id="17" xr3:uid="{221E1E56-9816-4DCD-B20D-9F80FB87640B}" name="Assigned to" dataDxfId="36"/>
    <tableColumn id="18" xr3:uid="{680A29F7-2F2F-4BCA-8BD0-ACFAC66BE21A}" name="Start date" dataDxfId="35"/>
    <tableColumn id="19" xr3:uid="{B5FF04C1-0C03-4495-BF87-FD7525AD5FF4}" name="Deadline" dataDxfId="34"/>
    <tableColumn id="20" xr3:uid="{AE973580-0072-4AA7-AA0D-A2FF5D9E1F5D}" name="Priority" dataDxfId="33"/>
    <tableColumn id="1" xr3:uid="{A4FE624F-7747-4F5C-A40C-0831E2A2ACC6}" name="Customer status" dataDxfId="32" dataCellStyle="Normal 2"/>
    <tableColumn id="21" xr3:uid="{BD9AF704-BECC-46AB-9932-C8B087AA3DD2}" name="Status" dataDxfId="31" dataCellStyle="Normal 2"/>
    <tableColumn id="22" xr3:uid="{1EE04983-94CB-4F9D-85EE-5F54418F7082}" name="Comment" dataDxfId="30"/>
    <tableColumn id="2" xr3:uid="{713B90B0-6CE4-4D9E-AD60-597731CEDF91}" name="Request raised by" dataDxfId="29"/>
    <tableColumn id="3" xr3:uid="{FC937479-5268-44C8-8399-93C69CA3D963}" name="Request approved by" dataDxfId="28"/>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A003DA-949E-414D-9769-36A40CF73CF3}" name="Table2" displayName="Table2" ref="B3:Q29" totalsRowShown="0" headerRowDxfId="27" dataDxfId="26" headerRowBorderDxfId="24" tableBorderDxfId="25" headerRowCellStyle="Normal 2">
  <autoFilter ref="B3:Q29" xr:uid="{49A003DA-949E-414D-9769-36A40CF73CF3}">
    <filterColumn colId="12">
      <filters blank="1">
        <filter val="Not completed"/>
      </filters>
    </filterColumn>
    <filterColumn colId="13">
      <filters blank="1">
        <filter val="Simmiliar to 4"/>
        <filter val="te new logic is elaborating. the scale of the issue will be calculating after receving the file with all reversals"/>
      </filters>
    </filterColumn>
  </autoFilter>
  <tableColumns count="16">
    <tableColumn id="1" xr3:uid="{93EC2F1B-F885-4327-A9AD-500F21ABD8EF}" name="№" dataDxfId="23"/>
    <tableColumn id="2" xr3:uid="{76B98F60-05ED-4689-B49E-2A81B553F3C0}" name="Type" dataDxfId="22"/>
    <tableColumn id="3" xr3:uid="{6DFE64A3-DFA7-4F2A-B1A0-72BAB155E465}" name="SOW" dataDxfId="21"/>
    <tableColumn id="4" xr3:uid="{69255C0A-FFCF-4FC0-A311-950737386A1E}" name="Output file" dataDxfId="20"/>
    <tableColumn id="5" xr3:uid="{DA4564E9-48C5-427C-8F2F-C14AC3D9B56C}" name="Subject" dataDxfId="19"/>
    <tableColumn id="6" xr3:uid="{0F701029-137F-406B-900B-9F2EDB66E5DD}" name="Model" dataDxfId="18"/>
    <tableColumn id="7" xr3:uid="{3DBC5838-94CA-4DC0-BFC4-820112EC9755}" name="Main arrangements" dataDxfId="17"/>
    <tableColumn id="16" xr3:uid="{CDE02721-35C7-499A-8FA1-BBDAC5B3F7E8}" name="Feedback Link" dataDxfId="16"/>
    <tableColumn id="9" xr3:uid="{BB22DD14-934E-4A06-8D7F-48C44CF7FE5C}" name="Registration date" dataDxfId="15"/>
    <tableColumn id="10" xr3:uid="{2A56118B-E183-4989-9514-B7B7E7A6E650}" name="Deadline" dataDxfId="14"/>
    <tableColumn id="8" xr3:uid="{19F4363D-A715-4545-A1F0-71E0182BF599}" name="Assigned to" dataDxfId="13"/>
    <tableColumn id="11" xr3:uid="{8D5F68FA-D759-4C49-87F6-86CF331F3394}" name="Priority" dataDxfId="12"/>
    <tableColumn id="12" xr3:uid="{484E9835-DA3C-40B2-AD27-3B1F73B5256D}" name="Status" dataDxfId="11"/>
    <tableColumn id="13" xr3:uid="{B238DB99-03DD-455C-9AEB-CC7ECD5BD121}" name="Comment" dataDxfId="10"/>
    <tableColumn id="14" xr3:uid="{31658FEA-864A-4280-9F8E-85605E3D7F84}" name="Request raised by" dataDxfId="9"/>
    <tableColumn id="15" xr3:uid="{9962643F-9893-4179-8DC9-E28C616DDECF}" name="Request approved by" dataDxfId="8"/>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56A3D7-789C-404C-911E-74F98AC8C99A}" name="Table24" displayName="Table24" ref="B3:P18" totalsRowShown="0" headerRowDxfId="7" headerRowBorderDxfId="5" tableBorderDxfId="6" headerRowCellStyle="Normal 2">
  <autoFilter ref="B3:P18" xr:uid="{49A003DA-949E-414D-9769-36A40CF73CF3}">
    <filterColumn colId="11">
      <filters blank="1"/>
    </filterColumn>
  </autoFilter>
  <tableColumns count="15">
    <tableColumn id="1" xr3:uid="{E8CDFE9E-61E3-4673-B7F2-0363D1ED9C7F}" name="№" dataDxfId="4"/>
    <tableColumn id="2" xr3:uid="{77F4DD1F-620D-48E7-B78E-D77649EDD0C8}" name="Type"/>
    <tableColumn id="3" xr3:uid="{E2C511F8-41EF-4529-ABE3-DE98423ADF45}" name="SOW"/>
    <tableColumn id="4" xr3:uid="{B684B52E-F21C-460C-8C6E-833291B24A4A}" name="Output file" dataDxfId="3"/>
    <tableColumn id="5" xr3:uid="{B7F17FA0-0583-4A2D-AA98-95DFCA1119CF}" name="Subject" dataDxfId="2"/>
    <tableColumn id="7" xr3:uid="{7B6A99BD-F370-4078-B5E2-704B13EAF255}" name="Main arrangements" dataDxfId="1"/>
    <tableColumn id="16" xr3:uid="{38C74B2A-BF49-48D7-B211-84EF92F6D2D1}" name="Feedback Link" dataDxfId="0"/>
    <tableColumn id="9" xr3:uid="{CC6823E9-A910-4CF8-9890-844EABC5CD5F}" name="Registration date"/>
    <tableColumn id="10" xr3:uid="{20C40C61-2D89-4920-83AF-6090EBBC98C7}" name="Deadline"/>
    <tableColumn id="8" xr3:uid="{72289CFD-AEB6-4F91-AF89-137D0E9FB583}" name="Assigned to"/>
    <tableColumn id="11" xr3:uid="{6EB3782D-20A9-4B0D-9027-1EAB0C7C95B5}" name="Priority"/>
    <tableColumn id="12" xr3:uid="{BA695A80-4E15-460C-8E5F-F2BF3929BD83}" name="Status"/>
    <tableColumn id="13" xr3:uid="{A1874D3A-4B7C-4B22-B74B-19153B1BDDD6}" name="Comment"/>
    <tableColumn id="14" xr3:uid="{4FE24C77-5EDA-4790-93ED-EF8028314F47}" name="Request raised by"/>
    <tableColumn id="15" xr3:uid="{630E7D3C-C5B8-4017-97DD-504A74483E16}" name="Request approved by"/>
  </tableColumns>
  <tableStyleInfo name="TableStyleMedium5" showFirstColumn="0" showLastColumn="0" showRowStripes="1" showColumnStripes="0"/>
</table>
</file>

<file path=xl/theme/theme1.xml><?xml version="1.0" encoding="utf-8"?>
<a:theme xmlns:a="http://schemas.openxmlformats.org/drawingml/2006/main" name="hAI">
  <a:themeElements>
    <a:clrScheme name="hunterAI">
      <a:dk1>
        <a:srgbClr val="2E2E2E"/>
      </a:dk1>
      <a:lt1>
        <a:sysClr val="window" lastClr="FFFFFF"/>
      </a:lt1>
      <a:dk2>
        <a:srgbClr val="959595"/>
      </a:dk2>
      <a:lt2>
        <a:srgbClr val="E1E1E1"/>
      </a:lt2>
      <a:accent1>
        <a:srgbClr val="DC253C"/>
      </a:accent1>
      <a:accent2>
        <a:srgbClr val="042EFF"/>
      </a:accent2>
      <a:accent3>
        <a:srgbClr val="4A68FF"/>
      </a:accent3>
      <a:accent4>
        <a:srgbClr val="95A6FF"/>
      </a:accent4>
      <a:accent5>
        <a:srgbClr val="C6CFFF"/>
      </a:accent5>
      <a:accent6>
        <a:srgbClr val="F0F3FF"/>
      </a:accent6>
      <a:hlink>
        <a:srgbClr val="FFB8C1"/>
      </a:hlink>
      <a:folHlink>
        <a:srgbClr val="FFE4E8"/>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w:/r/sites/BusinessAnalytics/_layouts/15/Doc.aspx?sourcedoc=%7BEE408316-AFBC-462E-AFCC-5AEC0D290D15%7D&amp;file=Anomaly_dev_feedback.docx&amp;action=default&amp;mobileredirect=true" TargetMode="External"/><Relationship Id="rId1" Type="http://schemas.openxmlformats.org/officeDocument/2006/relationships/hyperlink" Target="../../_layouts/15/doc.aspx?sourcedoc=%7b7508dede-92db-43d9-9079-520c06b4acf5%7d&amp;action=edi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w:/s/BusinessAnalytics/ERb8l2E3HYhMnooY242rtUcBlUI1JbzTg6o37YtLFY5xkA?wdOrigin=TEAMS-MAGLEV.p2p_ns.rwc&amp;wdExp=TEAMS-TREATMENT&amp;wdhostclicktime=1759424021430&amp;web=1" TargetMode="External"/><Relationship Id="rId13" Type="http://schemas.openxmlformats.org/officeDocument/2006/relationships/hyperlink" Target="../../../../:w:/r/sites/BusinessAnalytics/_layouts/15/Doc.aspx?sourcedoc=%7B6419C5CB-5B91-4F06-A405-CB24BCD6DD69%7D&amp;file=Delaware_anomaly_Nov2025.docx&amp;action=default&amp;mobileredirect=true" TargetMode="External"/><Relationship Id="rId3" Type="http://schemas.openxmlformats.org/officeDocument/2006/relationships/hyperlink" Target="../../../../:w:/r/sites/BusinessAnalytics/_layouts/15/Doc.aspx?sourcedoc=%7BA1A2B2DC-A06C-4C24-B29C-2BBD154844B0%7D&amp;file=UCI%20data_check.docx&amp;action=default&amp;mobileredirect=true" TargetMode="External"/><Relationship Id="rId7" Type="http://schemas.openxmlformats.org/officeDocument/2006/relationships/hyperlink" Target="../../../../:w:/s/BusinessAnalytics/ERb8l2E3HYhMnooY242rtUcBlUI1JbzTg6o37YtLFY5xkA?wdOrigin=TEAMS-MAGLEV.p2p_ns.rwc&amp;wdExp=TEAMS-TREATMENT&amp;wdhostclicktime=1759424021430&amp;web=1" TargetMode="External"/><Relationship Id="rId12" Type="http://schemas.openxmlformats.org/officeDocument/2006/relationships/hyperlink" Target="../../../../:w:/r/sites/BusinessAnalytics/_layouts/15/Doc.aspx?sourcedoc=%7B6419C5CB-5B91-4F06-A405-CB24BCD6DD69%7D&amp;file=Delaware_anomaly_Nov2025.docx&amp;action=default&amp;mobileredirect=true" TargetMode="External"/><Relationship Id="rId17" Type="http://schemas.openxmlformats.org/officeDocument/2006/relationships/table" Target="../tables/table2.xml"/><Relationship Id="rId2" Type="http://schemas.openxmlformats.org/officeDocument/2006/relationships/hyperlink" Target="../../../../:w:/r/sites/BusinessAnalytics/_layouts/15/Doc.aspx?sourcedoc=%7BADC221FB-9F95-4AD2-A249-487443A12801%7D&amp;file=New%20match%20number%20feedback.docx&amp;action=default&amp;mobileredirect=true" TargetMode="External"/><Relationship Id="rId16" Type="http://schemas.openxmlformats.org/officeDocument/2006/relationships/hyperlink" Target="../../../../:w:/s/BusinessAnalytics/IQB7DEff1fnMQqrl3Y7ZufXkATH7B8EUKrbUiCR3JK4EFfQ?e=470ppj" TargetMode="External"/><Relationship Id="rId1" Type="http://schemas.openxmlformats.org/officeDocument/2006/relationships/hyperlink" Target="../../../../:w:/s/BusinessAnalytics/Ed7eCHXbktlDkHlSDAa0rPUBlbtSXsxHSUEg-zcqQureCg?e=fPFvxb" TargetMode="External"/><Relationship Id="rId6" Type="http://schemas.openxmlformats.org/officeDocument/2006/relationships/hyperlink" Target="../../../../:w:/s/BusinessAnalytics/ERb8l2E3HYhMnooY242rtUcBlUI1JbzTg6o37YtLFY5xkA?wdOrigin=TEAMS-MAGLEV.p2p_ns.rwc&amp;wdExp=TEAMS-TREATMENT&amp;wdhostclicktime=1759424021430&amp;web=1" TargetMode="External"/><Relationship Id="rId11" Type="http://schemas.openxmlformats.org/officeDocument/2006/relationships/hyperlink" Target="../../../../:w:/s/BusinessAnalytics/IQDK-et81f9-QpWANIj_bnouAV1-5owb7dyXCe3so5FasP8?e=q71TgM" TargetMode="External"/><Relationship Id="rId5" Type="http://schemas.openxmlformats.org/officeDocument/2006/relationships/hyperlink" Target="../../../../:w:/r/sites/BusinessAnalytics/_layouts/15/Doc.aspx?sourcedoc=%7BADC221FB-9F95-4AD2-A249-487443A12801%7D&amp;file=New%20match%20number%20feedback.docx&amp;action=default&amp;mobileredirect=true" TargetMode="External"/><Relationship Id="rId15" Type="http://schemas.openxmlformats.org/officeDocument/2006/relationships/hyperlink" Target="../../../../:w:/s/BusinessAnalytics/IQB7DEff1fnMQqrl3Y7ZufXkATH7B8EUKrbUiCR3JK4EFfQ?e=470ppj" TargetMode="External"/><Relationship Id="rId10" Type="http://schemas.openxmlformats.org/officeDocument/2006/relationships/hyperlink" Target="../../../../:w:/s/BusinessAnalytics/IQDK-et81f9-QpWANIj_bnouAV1-5owb7dyXCe3so5FasP8?e=q71TgM" TargetMode="External"/><Relationship Id="rId4" Type="http://schemas.openxmlformats.org/officeDocument/2006/relationships/hyperlink" Target="../../../../:w:/r/sites/BusinessAnalytics/_layouts/15/Doc.aspx?sourcedoc=%7BA1A2B2DC-A06C-4C24-B29C-2BBD154844B0%7D&amp;file=UCI%20data_check.docx&amp;action=default&amp;mobileredirect=true" TargetMode="External"/><Relationship Id="rId9" Type="http://schemas.openxmlformats.org/officeDocument/2006/relationships/hyperlink" Target="../../../../:w:/r/sites/BusinessAnalytics/_layouts/15/Doc.aspx?sourcedoc=%7BDD52EDEA-AF79-4C32-860E-257CE5F88EBC%7D&amp;file=Anomalies%20improvements%20review%202.docx&amp;action=default&amp;mobileredirect=true" TargetMode="External"/><Relationship Id="rId14" Type="http://schemas.openxmlformats.org/officeDocument/2006/relationships/hyperlink" Target="../../../../:w:/s/BusinessAnalytics/IQCc5hRdINccSpxRsQHg3stNAQPdR6Uf7l7PFNLPIxdxnpg?e=vC8gn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w:/s/BusinessAnalytics/IQAp3ZJlAF75TZ-MAxwj--S0AdtK5Idhr3GHdKeMhL1lQYc?e=ecW9DO" TargetMode="External"/><Relationship Id="rId2" Type="http://schemas.openxmlformats.org/officeDocument/2006/relationships/hyperlink" Target="../../../../:w:/s/BusinessAnalytics/IQAp3ZJlAF75TZ-MAxwj--S0AdtK5Idhr3GHdKeMhL1lQYc?e=ecW9DO" TargetMode="External"/><Relationship Id="rId1" Type="http://schemas.openxmlformats.org/officeDocument/2006/relationships/hyperlink" Target="../../../../:w:/s/BusinessAnalytics/IQBTijA6slQOTon4aQdT8MrnAT2h3eHijCnKmQBNXbW5WrU?e=BJc5mJ"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s/EngineeringTeam/Eb4v1NU9H4BOqlNe1yOdI84B1ee-6h3DeNjVTE5z0UGszg?e=U6U5od" TargetMode="External"/><Relationship Id="rId1" Type="http://schemas.openxmlformats.org/officeDocument/2006/relationships/hyperlink" Target="../../../../:w:/s/BusinessAnalytics/EbJKmYbE0lFHrzSJU-1VkfwBJmbHhvDsUOIL4W_SEkzY8Q?e=WhiS4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EB59-80FC-4290-A741-B5380724D41F}">
  <dimension ref="B1:O261"/>
  <sheetViews>
    <sheetView showGridLines="0" zoomScale="80" zoomScaleNormal="80" workbookViewId="0">
      <pane ySplit="3" topLeftCell="A252" activePane="bottomLeft" state="frozen"/>
      <selection pane="bottomLeft" activeCell="F255" sqref="F255"/>
    </sheetView>
  </sheetViews>
  <sheetFormatPr defaultColWidth="8.625" defaultRowHeight="13.9"/>
  <cols>
    <col min="1" max="1" width="2.375" style="77" customWidth="1"/>
    <col min="2" max="2" width="7.625" style="97" customWidth="1"/>
    <col min="3" max="3" width="13.375" style="77" customWidth="1"/>
    <col min="4" max="4" width="15.75" style="77" customWidth="1"/>
    <col min="5" max="5" width="21.875" style="77" customWidth="1"/>
    <col min="6" max="6" width="46.125" style="109" customWidth="1"/>
    <col min="7" max="7" width="14.125" style="77" customWidth="1"/>
    <col min="8" max="8" width="10.625" style="77" bestFit="1" customWidth="1"/>
    <col min="9" max="9" width="20.75" style="77" customWidth="1"/>
    <col min="10" max="10" width="9" style="77" customWidth="1"/>
    <col min="11" max="11" width="22.375" style="77" customWidth="1"/>
    <col min="12" max="12" width="11.125" style="77" customWidth="1"/>
    <col min="13" max="13" width="19.375" style="77" customWidth="1"/>
    <col min="14" max="15" width="8.625" style="77" bestFit="1" customWidth="1"/>
    <col min="16" max="16384" width="8.625" style="77"/>
  </cols>
  <sheetData>
    <row r="1" spans="2:15" ht="14.1">
      <c r="L1" s="78" t="s">
        <v>0</v>
      </c>
      <c r="M1" s="79">
        <f ca="1">TODAY()</f>
        <v>46132</v>
      </c>
    </row>
    <row r="2" spans="2:15" ht="6.6" customHeight="1"/>
    <row r="3" spans="2:15" s="83" customFormat="1" ht="41.45">
      <c r="B3" s="86" t="s">
        <v>1</v>
      </c>
      <c r="C3" s="82" t="s">
        <v>2</v>
      </c>
      <c r="D3" s="82" t="s">
        <v>3</v>
      </c>
      <c r="E3" s="82" t="s">
        <v>4</v>
      </c>
      <c r="F3" s="110" t="s">
        <v>5</v>
      </c>
      <c r="G3" s="82" t="s">
        <v>6</v>
      </c>
      <c r="H3" s="82" t="s">
        <v>7</v>
      </c>
      <c r="I3" s="82" t="s">
        <v>8</v>
      </c>
      <c r="J3" s="82" t="s">
        <v>9</v>
      </c>
      <c r="K3" s="82" t="s">
        <v>10</v>
      </c>
      <c r="L3" s="82" t="s">
        <v>11</v>
      </c>
      <c r="M3" s="82" t="s">
        <v>12</v>
      </c>
      <c r="N3" s="110" t="s">
        <v>13</v>
      </c>
      <c r="O3" s="110" t="s">
        <v>14</v>
      </c>
    </row>
    <row r="4" spans="2:15" ht="27.6" hidden="1">
      <c r="B4" s="87">
        <v>1</v>
      </c>
      <c r="C4" s="80" t="s">
        <v>15</v>
      </c>
      <c r="D4" s="80" t="s">
        <v>16</v>
      </c>
      <c r="E4" s="80" t="s">
        <v>17</v>
      </c>
      <c r="F4" s="80" t="s">
        <v>18</v>
      </c>
      <c r="G4" s="80" t="s">
        <v>19</v>
      </c>
      <c r="H4" s="84">
        <v>45573</v>
      </c>
      <c r="I4" s="84" t="s">
        <v>20</v>
      </c>
      <c r="J4" s="81"/>
      <c r="K4" s="81"/>
      <c r="L4" s="80" t="s">
        <v>21</v>
      </c>
      <c r="M4" s="80"/>
      <c r="N4" s="118"/>
      <c r="O4" s="118"/>
    </row>
    <row r="5" spans="2:15" ht="55.15" hidden="1">
      <c r="B5" s="87">
        <f t="shared" ref="B5:B21" si="0">B4+1</f>
        <v>2</v>
      </c>
      <c r="C5" s="80" t="s">
        <v>15</v>
      </c>
      <c r="D5" s="80" t="s">
        <v>22</v>
      </c>
      <c r="E5" s="80" t="s">
        <v>23</v>
      </c>
      <c r="F5" s="80" t="s">
        <v>24</v>
      </c>
      <c r="G5" s="80" t="s">
        <v>25</v>
      </c>
      <c r="H5" s="84">
        <v>45601</v>
      </c>
      <c r="I5" s="84">
        <v>45638</v>
      </c>
      <c r="J5" s="81"/>
      <c r="K5" s="81"/>
      <c r="L5" s="80" t="s">
        <v>21</v>
      </c>
      <c r="M5" s="80"/>
      <c r="N5" s="118"/>
      <c r="O5" s="118"/>
    </row>
    <row r="6" spans="2:15" ht="27.6" hidden="1">
      <c r="B6" s="87">
        <f t="shared" si="0"/>
        <v>3</v>
      </c>
      <c r="C6" s="80" t="s">
        <v>26</v>
      </c>
      <c r="D6" s="80" t="s">
        <v>27</v>
      </c>
      <c r="E6" s="80" t="s">
        <v>28</v>
      </c>
      <c r="F6" s="80" t="s">
        <v>29</v>
      </c>
      <c r="G6" s="80" t="s">
        <v>30</v>
      </c>
      <c r="H6" s="84">
        <v>45642</v>
      </c>
      <c r="I6" s="84">
        <v>45678</v>
      </c>
      <c r="J6" s="81"/>
      <c r="K6" s="81"/>
      <c r="L6" s="80" t="s">
        <v>31</v>
      </c>
      <c r="M6" s="80"/>
      <c r="N6" s="118"/>
      <c r="O6" s="118"/>
    </row>
    <row r="7" spans="2:15" ht="27.6" hidden="1">
      <c r="B7" s="87">
        <f t="shared" si="0"/>
        <v>4</v>
      </c>
      <c r="C7" s="80" t="s">
        <v>26</v>
      </c>
      <c r="D7" s="80" t="s">
        <v>32</v>
      </c>
      <c r="E7" s="80" t="s">
        <v>33</v>
      </c>
      <c r="F7" s="80" t="s">
        <v>34</v>
      </c>
      <c r="G7" s="80" t="s">
        <v>35</v>
      </c>
      <c r="H7" s="84">
        <v>45670</v>
      </c>
      <c r="I7" s="84">
        <v>45670</v>
      </c>
      <c r="J7" s="81"/>
      <c r="K7" s="81"/>
      <c r="L7" s="80" t="s">
        <v>31</v>
      </c>
      <c r="M7" s="80"/>
      <c r="N7" s="118"/>
      <c r="O7" s="118"/>
    </row>
    <row r="8" spans="2:15" ht="41.45" hidden="1">
      <c r="B8" s="87">
        <f t="shared" si="0"/>
        <v>5</v>
      </c>
      <c r="C8" s="80" t="s">
        <v>26</v>
      </c>
      <c r="D8" s="80" t="s">
        <v>32</v>
      </c>
      <c r="E8" s="80" t="s">
        <v>36</v>
      </c>
      <c r="F8" s="80" t="s">
        <v>37</v>
      </c>
      <c r="G8" s="80" t="s">
        <v>35</v>
      </c>
      <c r="H8" s="84">
        <v>45670</v>
      </c>
      <c r="I8" s="84"/>
      <c r="J8" s="81"/>
      <c r="K8" s="81"/>
      <c r="L8" s="80" t="s">
        <v>31</v>
      </c>
      <c r="M8" s="80"/>
      <c r="N8" s="118"/>
      <c r="O8" s="118"/>
    </row>
    <row r="9" spans="2:15" ht="41.45" hidden="1">
      <c r="B9" s="87">
        <f t="shared" si="0"/>
        <v>6</v>
      </c>
      <c r="C9" s="80" t="s">
        <v>26</v>
      </c>
      <c r="D9" s="80" t="s">
        <v>32</v>
      </c>
      <c r="E9" s="80" t="s">
        <v>38</v>
      </c>
      <c r="F9" s="80"/>
      <c r="G9" s="80" t="s">
        <v>39</v>
      </c>
      <c r="H9" s="84">
        <v>45670</v>
      </c>
      <c r="I9" s="84" t="s">
        <v>20</v>
      </c>
      <c r="J9" s="81"/>
      <c r="K9" s="81"/>
      <c r="L9" s="80" t="s">
        <v>21</v>
      </c>
      <c r="M9" s="80"/>
      <c r="N9" s="118"/>
      <c r="O9" s="118"/>
    </row>
    <row r="10" spans="2:15" ht="27.6" hidden="1">
      <c r="B10" s="87">
        <f t="shared" si="0"/>
        <v>7</v>
      </c>
      <c r="C10" s="80" t="s">
        <v>26</v>
      </c>
      <c r="D10" s="80" t="s">
        <v>40</v>
      </c>
      <c r="E10" s="80" t="s">
        <v>41</v>
      </c>
      <c r="F10" s="80" t="s">
        <v>42</v>
      </c>
      <c r="G10" s="80" t="s">
        <v>30</v>
      </c>
      <c r="H10" s="84">
        <v>45670</v>
      </c>
      <c r="I10" s="84">
        <v>45684</v>
      </c>
      <c r="J10" s="81"/>
      <c r="K10" s="81"/>
      <c r="L10" s="80" t="s">
        <v>31</v>
      </c>
      <c r="M10" s="80"/>
      <c r="N10" s="118"/>
      <c r="O10" s="118"/>
    </row>
    <row r="11" spans="2:15" hidden="1">
      <c r="B11" s="87">
        <f t="shared" si="0"/>
        <v>8</v>
      </c>
      <c r="C11" s="80" t="s">
        <v>26</v>
      </c>
      <c r="D11" s="80" t="s">
        <v>40</v>
      </c>
      <c r="E11" s="80" t="s">
        <v>43</v>
      </c>
      <c r="F11" s="80" t="s">
        <v>44</v>
      </c>
      <c r="G11" s="80" t="s">
        <v>35</v>
      </c>
      <c r="H11" s="84">
        <v>45670</v>
      </c>
      <c r="I11" s="84">
        <v>45686</v>
      </c>
      <c r="J11" s="81"/>
      <c r="K11" s="81"/>
      <c r="L11" s="80" t="s">
        <v>31</v>
      </c>
      <c r="M11" s="80"/>
      <c r="N11" s="118"/>
      <c r="O11" s="118"/>
    </row>
    <row r="12" spans="2:15" hidden="1">
      <c r="B12" s="87">
        <f t="shared" si="0"/>
        <v>9</v>
      </c>
      <c r="C12" s="80" t="s">
        <v>26</v>
      </c>
      <c r="D12" s="80" t="s">
        <v>40</v>
      </c>
      <c r="E12" s="80" t="s">
        <v>43</v>
      </c>
      <c r="F12" s="80" t="s">
        <v>45</v>
      </c>
      <c r="G12" s="80" t="s">
        <v>25</v>
      </c>
      <c r="H12" s="84">
        <v>45686</v>
      </c>
      <c r="I12" s="84">
        <v>45736</v>
      </c>
      <c r="J12" s="81"/>
      <c r="K12" s="81"/>
      <c r="L12" s="80" t="s">
        <v>21</v>
      </c>
      <c r="M12" s="80"/>
      <c r="N12" s="118"/>
      <c r="O12" s="118"/>
    </row>
    <row r="13" spans="2:15" hidden="1">
      <c r="B13" s="87">
        <f t="shared" si="0"/>
        <v>10</v>
      </c>
      <c r="C13" s="80" t="s">
        <v>26</v>
      </c>
      <c r="D13" s="80" t="s">
        <v>46</v>
      </c>
      <c r="E13" s="80" t="s">
        <v>47</v>
      </c>
      <c r="F13" s="80" t="s">
        <v>48</v>
      </c>
      <c r="G13" s="80" t="s">
        <v>30</v>
      </c>
      <c r="H13" s="84">
        <v>45679</v>
      </c>
      <c r="I13" s="84">
        <v>45722</v>
      </c>
      <c r="J13" s="81">
        <v>2</v>
      </c>
      <c r="K13" s="81"/>
      <c r="L13" s="80" t="s">
        <v>31</v>
      </c>
      <c r="M13" s="80"/>
      <c r="N13" s="118"/>
      <c r="O13" s="118"/>
    </row>
    <row r="14" spans="2:15" ht="27.6" hidden="1">
      <c r="B14" s="87">
        <f t="shared" si="0"/>
        <v>11</v>
      </c>
      <c r="C14" s="80" t="s">
        <v>26</v>
      </c>
      <c r="D14" s="80" t="s">
        <v>46</v>
      </c>
      <c r="E14" s="80" t="s">
        <v>49</v>
      </c>
      <c r="F14" s="80" t="s">
        <v>50</v>
      </c>
      <c r="G14" s="80" t="s">
        <v>35</v>
      </c>
      <c r="H14" s="84">
        <v>45708</v>
      </c>
      <c r="I14" s="84"/>
      <c r="J14" s="81">
        <v>1</v>
      </c>
      <c r="K14" s="81"/>
      <c r="L14" s="80" t="s">
        <v>31</v>
      </c>
      <c r="M14" s="80"/>
      <c r="N14" s="118"/>
      <c r="O14" s="118"/>
    </row>
    <row r="15" spans="2:15" ht="27.6" hidden="1">
      <c r="B15" s="87">
        <f t="shared" si="0"/>
        <v>12</v>
      </c>
      <c r="C15" s="80" t="s">
        <v>26</v>
      </c>
      <c r="D15" s="80" t="s">
        <v>46</v>
      </c>
      <c r="E15" s="80" t="s">
        <v>51</v>
      </c>
      <c r="F15" s="80" t="s">
        <v>50</v>
      </c>
      <c r="G15" s="80" t="s">
        <v>35</v>
      </c>
      <c r="H15" s="84">
        <v>45708</v>
      </c>
      <c r="I15" s="84"/>
      <c r="J15" s="81"/>
      <c r="K15" s="81"/>
      <c r="L15" s="80" t="s">
        <v>31</v>
      </c>
      <c r="M15" s="80"/>
      <c r="N15" s="118"/>
      <c r="O15" s="118"/>
    </row>
    <row r="16" spans="2:15" hidden="1">
      <c r="B16" s="87">
        <f t="shared" si="0"/>
        <v>13</v>
      </c>
      <c r="C16" s="80" t="s">
        <v>26</v>
      </c>
      <c r="D16" s="80" t="s">
        <v>46</v>
      </c>
      <c r="E16" s="80" t="s">
        <v>52</v>
      </c>
      <c r="F16" s="80"/>
      <c r="G16" s="80" t="s">
        <v>35</v>
      </c>
      <c r="H16" s="84">
        <v>45708</v>
      </c>
      <c r="I16" s="84"/>
      <c r="J16" s="81">
        <v>1</v>
      </c>
      <c r="K16" s="81"/>
      <c r="L16" s="80" t="s">
        <v>31</v>
      </c>
      <c r="M16" s="80"/>
      <c r="N16" s="118"/>
      <c r="O16" s="118"/>
    </row>
    <row r="17" spans="2:15" hidden="1">
      <c r="B17" s="87">
        <f t="shared" si="0"/>
        <v>14</v>
      </c>
      <c r="C17" s="80" t="s">
        <v>26</v>
      </c>
      <c r="D17" s="80" t="s">
        <v>46</v>
      </c>
      <c r="E17" s="80" t="s">
        <v>53</v>
      </c>
      <c r="F17" s="80" t="s">
        <v>48</v>
      </c>
      <c r="G17" s="80" t="s">
        <v>54</v>
      </c>
      <c r="H17" s="84"/>
      <c r="I17" s="84">
        <v>45726</v>
      </c>
      <c r="J17" s="81">
        <v>1</v>
      </c>
      <c r="K17" s="81"/>
      <c r="L17" s="80" t="s">
        <v>31</v>
      </c>
      <c r="M17" s="80"/>
      <c r="N17" s="118"/>
      <c r="O17" s="118"/>
    </row>
    <row r="18" spans="2:15" hidden="1">
      <c r="B18" s="87">
        <f t="shared" si="0"/>
        <v>15</v>
      </c>
      <c r="C18" s="80" t="s">
        <v>26</v>
      </c>
      <c r="D18" s="80" t="s">
        <v>46</v>
      </c>
      <c r="E18" s="80" t="s">
        <v>55</v>
      </c>
      <c r="F18" s="80"/>
      <c r="G18" s="80"/>
      <c r="H18" s="84">
        <v>45713</v>
      </c>
      <c r="I18" s="84"/>
      <c r="J18" s="81"/>
      <c r="K18" s="81"/>
      <c r="L18" s="80" t="s">
        <v>31</v>
      </c>
      <c r="M18" s="80"/>
      <c r="N18" s="118"/>
      <c r="O18" s="118"/>
    </row>
    <row r="19" spans="2:15" ht="41.45" hidden="1">
      <c r="B19" s="87">
        <f t="shared" si="0"/>
        <v>16</v>
      </c>
      <c r="C19" s="80" t="s">
        <v>26</v>
      </c>
      <c r="D19" s="80" t="s">
        <v>56</v>
      </c>
      <c r="E19" s="80" t="s">
        <v>57</v>
      </c>
      <c r="F19" s="80" t="s">
        <v>58</v>
      </c>
      <c r="G19" s="80" t="s">
        <v>59</v>
      </c>
      <c r="H19" s="84">
        <v>45708</v>
      </c>
      <c r="I19" s="84">
        <v>45722</v>
      </c>
      <c r="J19" s="81"/>
      <c r="K19" s="81"/>
      <c r="L19" s="80" t="s">
        <v>31</v>
      </c>
      <c r="M19" s="80"/>
      <c r="N19" s="118"/>
      <c r="O19" s="118"/>
    </row>
    <row r="20" spans="2:15" hidden="1">
      <c r="B20" s="87">
        <f t="shared" si="0"/>
        <v>17</v>
      </c>
      <c r="C20" s="80" t="s">
        <v>26</v>
      </c>
      <c r="D20" s="80" t="s">
        <v>56</v>
      </c>
      <c r="E20" s="80" t="s">
        <v>57</v>
      </c>
      <c r="F20" s="80" t="s">
        <v>60</v>
      </c>
      <c r="G20" s="80" t="s">
        <v>35</v>
      </c>
      <c r="H20" s="84">
        <v>45722</v>
      </c>
      <c r="I20" s="84">
        <v>45734</v>
      </c>
      <c r="J20" s="81"/>
      <c r="K20" s="81"/>
      <c r="L20" s="80" t="s">
        <v>31</v>
      </c>
      <c r="M20" s="80"/>
      <c r="N20" s="118"/>
      <c r="O20" s="118"/>
    </row>
    <row r="21" spans="2:15" ht="110.45" hidden="1">
      <c r="B21" s="87">
        <f t="shared" si="0"/>
        <v>18</v>
      </c>
      <c r="C21" s="80" t="s">
        <v>26</v>
      </c>
      <c r="D21" s="80" t="s">
        <v>46</v>
      </c>
      <c r="E21" s="80" t="s">
        <v>61</v>
      </c>
      <c r="F21" s="88" t="s">
        <v>62</v>
      </c>
      <c r="G21" s="80" t="s">
        <v>19</v>
      </c>
      <c r="H21" s="84">
        <f>DATE(2025,3,5)</f>
        <v>45721</v>
      </c>
      <c r="I21" s="84" t="s">
        <v>63</v>
      </c>
      <c r="J21" s="81"/>
      <c r="K21" s="81"/>
      <c r="L21" s="80" t="s">
        <v>31</v>
      </c>
      <c r="M21" s="80"/>
      <c r="N21" s="118"/>
      <c r="O21" s="118"/>
    </row>
    <row r="22" spans="2:15" ht="41.45" hidden="1">
      <c r="B22" s="87">
        <v>19</v>
      </c>
      <c r="C22" s="80" t="s">
        <v>26</v>
      </c>
      <c r="D22" s="80" t="s">
        <v>46</v>
      </c>
      <c r="E22" s="80" t="s">
        <v>64</v>
      </c>
      <c r="F22" s="80" t="s">
        <v>65</v>
      </c>
      <c r="G22" s="80" t="s">
        <v>66</v>
      </c>
      <c r="H22" s="84"/>
      <c r="I22" s="84" t="s">
        <v>65</v>
      </c>
      <c r="J22" s="81"/>
      <c r="K22" s="81"/>
      <c r="L22" s="80" t="s">
        <v>31</v>
      </c>
      <c r="M22" s="80"/>
      <c r="N22" s="118"/>
      <c r="O22" s="118"/>
    </row>
    <row r="23" spans="2:15" ht="27.6" hidden="1">
      <c r="B23" s="87">
        <v>20</v>
      </c>
      <c r="C23" s="80" t="s">
        <v>26</v>
      </c>
      <c r="D23" s="80" t="s">
        <v>46</v>
      </c>
      <c r="E23" s="80" t="s">
        <v>67</v>
      </c>
      <c r="F23" s="80"/>
      <c r="G23" s="80" t="s">
        <v>35</v>
      </c>
      <c r="H23" s="84">
        <v>45728</v>
      </c>
      <c r="I23" s="84">
        <v>45729</v>
      </c>
      <c r="J23" s="81"/>
      <c r="K23" s="81"/>
      <c r="L23" s="80" t="s">
        <v>31</v>
      </c>
      <c r="M23" s="80"/>
      <c r="N23" s="118"/>
      <c r="O23" s="118"/>
    </row>
    <row r="24" spans="2:15" hidden="1">
      <c r="B24" s="87">
        <v>21</v>
      </c>
      <c r="C24" s="80" t="s">
        <v>68</v>
      </c>
      <c r="D24" s="80"/>
      <c r="E24" s="80" t="s">
        <v>69</v>
      </c>
      <c r="F24" s="80"/>
      <c r="G24" s="80"/>
      <c r="H24" s="84"/>
      <c r="I24" s="81"/>
      <c r="J24" s="81"/>
      <c r="K24" s="81"/>
      <c r="L24" s="80" t="s">
        <v>21</v>
      </c>
      <c r="M24" s="80"/>
      <c r="N24" s="118"/>
      <c r="O24" s="118"/>
    </row>
    <row r="25" spans="2:15" ht="27.6" hidden="1">
      <c r="B25" s="87">
        <v>22</v>
      </c>
      <c r="C25" s="80" t="s">
        <v>26</v>
      </c>
      <c r="D25" s="80" t="s">
        <v>46</v>
      </c>
      <c r="E25" s="80" t="s">
        <v>70</v>
      </c>
      <c r="F25" s="80"/>
      <c r="G25" s="80" t="s">
        <v>39</v>
      </c>
      <c r="H25" s="84"/>
      <c r="I25" s="84">
        <v>45735</v>
      </c>
      <c r="J25" s="81"/>
      <c r="K25" s="81"/>
      <c r="L25" s="80" t="s">
        <v>31</v>
      </c>
      <c r="M25" s="80"/>
      <c r="N25" s="118"/>
      <c r="O25" s="118"/>
    </row>
    <row r="26" spans="2:15" hidden="1">
      <c r="B26" s="87">
        <v>23</v>
      </c>
      <c r="C26" s="80" t="s">
        <v>26</v>
      </c>
      <c r="D26" s="80" t="s">
        <v>56</v>
      </c>
      <c r="E26" s="80" t="s">
        <v>57</v>
      </c>
      <c r="F26" s="80" t="s">
        <v>71</v>
      </c>
      <c r="G26" s="80" t="s">
        <v>59</v>
      </c>
      <c r="H26" s="84">
        <v>45734</v>
      </c>
      <c r="I26" s="81" t="s">
        <v>20</v>
      </c>
      <c r="J26" s="81"/>
      <c r="K26" s="81"/>
      <c r="L26" s="80" t="s">
        <v>31</v>
      </c>
      <c r="M26" s="80"/>
      <c r="N26" s="118"/>
      <c r="O26" s="118"/>
    </row>
    <row r="27" spans="2:15" ht="41.45" hidden="1">
      <c r="B27" s="87">
        <v>27</v>
      </c>
      <c r="C27" s="80" t="s">
        <v>26</v>
      </c>
      <c r="D27" s="80" t="s">
        <v>56</v>
      </c>
      <c r="E27" s="80" t="s">
        <v>72</v>
      </c>
      <c r="F27" s="80"/>
      <c r="G27" s="80" t="s">
        <v>35</v>
      </c>
      <c r="H27" s="84">
        <v>45748</v>
      </c>
      <c r="I27" s="84">
        <v>45756</v>
      </c>
      <c r="J27" s="81"/>
      <c r="K27" s="81"/>
      <c r="L27" s="80" t="s">
        <v>31</v>
      </c>
      <c r="M27" s="80"/>
      <c r="N27" s="118"/>
      <c r="O27" s="118"/>
    </row>
    <row r="28" spans="2:15" ht="27.6" hidden="1">
      <c r="B28" s="87">
        <v>24</v>
      </c>
      <c r="C28" s="80" t="s">
        <v>26</v>
      </c>
      <c r="D28" s="80" t="s">
        <v>46</v>
      </c>
      <c r="E28" s="80" t="s">
        <v>70</v>
      </c>
      <c r="F28" s="80"/>
      <c r="G28" s="80" t="s">
        <v>35</v>
      </c>
      <c r="H28" s="84">
        <v>45735</v>
      </c>
      <c r="I28" s="84">
        <v>45740</v>
      </c>
      <c r="J28" s="81"/>
      <c r="K28" s="81"/>
      <c r="L28" s="80" t="s">
        <v>31</v>
      </c>
      <c r="M28" s="80"/>
      <c r="N28" s="118"/>
      <c r="O28" s="118"/>
    </row>
    <row r="29" spans="2:15" ht="27.6" hidden="1">
      <c r="B29" s="87">
        <v>25</v>
      </c>
      <c r="C29" s="80" t="s">
        <v>26</v>
      </c>
      <c r="D29" s="80" t="s">
        <v>46</v>
      </c>
      <c r="E29" s="80" t="s">
        <v>73</v>
      </c>
      <c r="F29" s="80"/>
      <c r="G29" s="80" t="s">
        <v>74</v>
      </c>
      <c r="H29" s="84">
        <v>45736</v>
      </c>
      <c r="I29" s="81" t="s">
        <v>20</v>
      </c>
      <c r="J29" s="81"/>
      <c r="K29" s="81"/>
      <c r="L29" s="80" t="s">
        <v>21</v>
      </c>
      <c r="M29" s="80"/>
      <c r="N29" s="118"/>
      <c r="O29" s="118"/>
    </row>
    <row r="30" spans="2:15" hidden="1">
      <c r="B30" s="87">
        <v>26</v>
      </c>
      <c r="C30" s="80" t="s">
        <v>26</v>
      </c>
      <c r="D30" s="80" t="s">
        <v>46</v>
      </c>
      <c r="E30" s="80" t="s">
        <v>75</v>
      </c>
      <c r="F30" s="80"/>
      <c r="G30" s="80" t="s">
        <v>59</v>
      </c>
      <c r="H30" s="84"/>
      <c r="I30" s="81" t="s">
        <v>20</v>
      </c>
      <c r="J30" s="81"/>
      <c r="K30" s="81"/>
      <c r="L30" s="80" t="s">
        <v>31</v>
      </c>
      <c r="M30" s="80"/>
      <c r="N30" s="118"/>
      <c r="O30" s="118"/>
    </row>
    <row r="31" spans="2:15" hidden="1">
      <c r="B31" s="87">
        <v>28</v>
      </c>
      <c r="C31" s="80" t="s">
        <v>26</v>
      </c>
      <c r="D31" s="80" t="s">
        <v>46</v>
      </c>
      <c r="E31" s="80" t="s">
        <v>75</v>
      </c>
      <c r="F31" s="80" t="s">
        <v>76</v>
      </c>
      <c r="G31" s="80" t="s">
        <v>77</v>
      </c>
      <c r="H31" s="84"/>
      <c r="I31" s="84">
        <v>45756</v>
      </c>
      <c r="J31" s="81"/>
      <c r="K31" s="81"/>
      <c r="L31" s="80" t="s">
        <v>31</v>
      </c>
      <c r="M31" s="80"/>
      <c r="N31" s="118"/>
      <c r="O31" s="118"/>
    </row>
    <row r="32" spans="2:15" hidden="1">
      <c r="B32" s="87">
        <v>29</v>
      </c>
      <c r="C32" s="80" t="s">
        <v>26</v>
      </c>
      <c r="D32" s="80" t="s">
        <v>46</v>
      </c>
      <c r="E32" s="80" t="s">
        <v>78</v>
      </c>
      <c r="F32" s="80"/>
      <c r="G32" s="80" t="s">
        <v>35</v>
      </c>
      <c r="H32" s="84"/>
      <c r="I32" s="84">
        <v>45748</v>
      </c>
      <c r="J32" s="81"/>
      <c r="K32" s="81"/>
      <c r="L32" s="80" t="s">
        <v>31</v>
      </c>
      <c r="M32" s="80"/>
      <c r="N32" s="118"/>
      <c r="O32" s="118"/>
    </row>
    <row r="33" spans="2:15" ht="27.6" hidden="1">
      <c r="B33" s="87">
        <v>34</v>
      </c>
      <c r="C33" s="80" t="s">
        <v>26</v>
      </c>
      <c r="D33" s="80" t="s">
        <v>46</v>
      </c>
      <c r="E33" s="80" t="s">
        <v>79</v>
      </c>
      <c r="F33" s="80"/>
      <c r="G33" s="80" t="s">
        <v>35</v>
      </c>
      <c r="H33" s="84">
        <v>45749</v>
      </c>
      <c r="I33" s="84">
        <v>45750</v>
      </c>
      <c r="J33" s="81"/>
      <c r="K33" s="81"/>
      <c r="L33" s="80" t="s">
        <v>31</v>
      </c>
      <c r="M33" s="80"/>
      <c r="N33" s="118"/>
      <c r="O33" s="118"/>
    </row>
    <row r="34" spans="2:15" ht="27.6" hidden="1">
      <c r="B34" s="87">
        <v>30</v>
      </c>
      <c r="C34" s="80" t="s">
        <v>26</v>
      </c>
      <c r="D34" s="80" t="s">
        <v>46</v>
      </c>
      <c r="E34" s="80" t="s">
        <v>80</v>
      </c>
      <c r="F34" s="80"/>
      <c r="G34" s="80" t="s">
        <v>35</v>
      </c>
      <c r="H34" s="84"/>
      <c r="I34" s="84">
        <v>45748</v>
      </c>
      <c r="J34" s="81"/>
      <c r="K34" s="81"/>
      <c r="L34" s="80" t="s">
        <v>31</v>
      </c>
      <c r="M34" s="80"/>
      <c r="N34" s="118"/>
      <c r="O34" s="118"/>
    </row>
    <row r="35" spans="2:15" ht="27.6" hidden="1">
      <c r="B35" s="87">
        <v>31</v>
      </c>
      <c r="C35" s="80" t="s">
        <v>26</v>
      </c>
      <c r="D35" s="80" t="s">
        <v>81</v>
      </c>
      <c r="E35" s="80" t="s">
        <v>82</v>
      </c>
      <c r="F35" s="80"/>
      <c r="G35" s="80"/>
      <c r="H35" s="84">
        <v>45748</v>
      </c>
      <c r="I35" s="84" t="s">
        <v>20</v>
      </c>
      <c r="J35" s="81"/>
      <c r="K35" s="81"/>
      <c r="L35" s="80" t="s">
        <v>21</v>
      </c>
      <c r="M35" s="80"/>
      <c r="N35" s="118"/>
      <c r="O35" s="118"/>
    </row>
    <row r="36" spans="2:15" ht="27.6" hidden="1">
      <c r="B36" s="87">
        <v>32</v>
      </c>
      <c r="C36" s="80" t="s">
        <v>26</v>
      </c>
      <c r="D36" s="80" t="s">
        <v>81</v>
      </c>
      <c r="E36" s="80" t="s">
        <v>83</v>
      </c>
      <c r="F36" s="80"/>
      <c r="G36" s="80"/>
      <c r="H36" s="84">
        <v>45748</v>
      </c>
      <c r="I36" s="81" t="s">
        <v>20</v>
      </c>
      <c r="J36" s="81"/>
      <c r="K36" s="81"/>
      <c r="L36" s="80" t="s">
        <v>21</v>
      </c>
      <c r="M36" s="80"/>
      <c r="N36" s="118"/>
      <c r="O36" s="118"/>
    </row>
    <row r="37" spans="2:15" hidden="1">
      <c r="B37" s="87">
        <v>33</v>
      </c>
      <c r="C37" s="80" t="s">
        <v>26</v>
      </c>
      <c r="D37" s="80" t="s">
        <v>81</v>
      </c>
      <c r="E37" s="80" t="s">
        <v>84</v>
      </c>
      <c r="F37" s="80"/>
      <c r="G37" s="80"/>
      <c r="H37" s="84">
        <v>45748</v>
      </c>
      <c r="I37" s="81" t="s">
        <v>20</v>
      </c>
      <c r="J37" s="81"/>
      <c r="K37" s="81"/>
      <c r="L37" s="80" t="s">
        <v>21</v>
      </c>
      <c r="M37" s="80"/>
      <c r="N37" s="118"/>
      <c r="O37" s="118"/>
    </row>
    <row r="38" spans="2:15" hidden="1">
      <c r="B38" s="87">
        <v>34</v>
      </c>
      <c r="C38" s="80" t="s">
        <v>26</v>
      </c>
      <c r="D38" s="80" t="s">
        <v>56</v>
      </c>
      <c r="E38" s="80" t="s">
        <v>85</v>
      </c>
      <c r="F38" s="80" t="s">
        <v>86</v>
      </c>
      <c r="G38" s="80" t="s">
        <v>59</v>
      </c>
      <c r="H38" s="84">
        <v>45755</v>
      </c>
      <c r="I38" s="81" t="s">
        <v>20</v>
      </c>
      <c r="J38" s="81"/>
      <c r="K38" s="81"/>
      <c r="L38" s="80" t="s">
        <v>31</v>
      </c>
      <c r="M38" s="80"/>
      <c r="N38" s="118"/>
      <c r="O38" s="118"/>
    </row>
    <row r="39" spans="2:15" ht="27.6" hidden="1">
      <c r="B39" s="87">
        <v>36</v>
      </c>
      <c r="C39" s="80" t="s">
        <v>87</v>
      </c>
      <c r="D39" s="80" t="s">
        <v>88</v>
      </c>
      <c r="E39" s="80" t="s">
        <v>89</v>
      </c>
      <c r="F39" s="80"/>
      <c r="G39" s="80" t="s">
        <v>74</v>
      </c>
      <c r="H39" s="84"/>
      <c r="I39" s="84"/>
      <c r="J39" s="81"/>
      <c r="K39" s="81"/>
      <c r="L39" s="80" t="s">
        <v>31</v>
      </c>
      <c r="M39" s="80"/>
      <c r="N39" s="118"/>
      <c r="O39" s="118"/>
    </row>
    <row r="40" spans="2:15" ht="27.6" hidden="1">
      <c r="B40" s="87">
        <v>37</v>
      </c>
      <c r="C40" s="80" t="s">
        <v>26</v>
      </c>
      <c r="D40" s="80" t="s">
        <v>88</v>
      </c>
      <c r="E40" s="80" t="s">
        <v>89</v>
      </c>
      <c r="F40" s="80" t="s">
        <v>90</v>
      </c>
      <c r="G40" s="80" t="s">
        <v>91</v>
      </c>
      <c r="H40" s="84"/>
      <c r="I40" s="84">
        <v>45769</v>
      </c>
      <c r="J40" s="81"/>
      <c r="K40" s="81"/>
      <c r="L40" s="80" t="s">
        <v>31</v>
      </c>
      <c r="M40" s="80"/>
      <c r="N40" s="118"/>
      <c r="O40" s="118"/>
    </row>
    <row r="41" spans="2:15" ht="55.15" hidden="1">
      <c r="B41" s="87">
        <v>38</v>
      </c>
      <c r="C41" s="80" t="s">
        <v>26</v>
      </c>
      <c r="D41" s="80" t="s">
        <v>46</v>
      </c>
      <c r="E41" s="80" t="s">
        <v>92</v>
      </c>
      <c r="F41" s="80" t="s">
        <v>93</v>
      </c>
      <c r="G41" s="80" t="s">
        <v>35</v>
      </c>
      <c r="H41" s="84"/>
      <c r="I41" s="84">
        <v>45765</v>
      </c>
      <c r="J41" s="81"/>
      <c r="K41" s="81"/>
      <c r="L41" s="80" t="s">
        <v>31</v>
      </c>
      <c r="M41" s="80"/>
      <c r="N41" s="118"/>
      <c r="O41" s="118"/>
    </row>
    <row r="42" spans="2:15" ht="27.6" hidden="1">
      <c r="B42" s="87">
        <v>35</v>
      </c>
      <c r="C42" s="80" t="s">
        <v>26</v>
      </c>
      <c r="D42" s="80" t="s">
        <v>46</v>
      </c>
      <c r="E42" s="80" t="s">
        <v>94</v>
      </c>
      <c r="F42" s="80" t="s">
        <v>95</v>
      </c>
      <c r="G42" s="80" t="s">
        <v>74</v>
      </c>
      <c r="H42" s="84">
        <v>45756</v>
      </c>
      <c r="I42" s="84">
        <v>45799</v>
      </c>
      <c r="J42" s="81"/>
      <c r="K42" s="81"/>
      <c r="L42" s="80" t="s">
        <v>31</v>
      </c>
      <c r="M42" s="80"/>
      <c r="N42" s="118"/>
      <c r="O42" s="118"/>
    </row>
    <row r="43" spans="2:15" ht="27.6" hidden="1">
      <c r="B43" s="87">
        <v>39</v>
      </c>
      <c r="C43" s="80" t="s">
        <v>26</v>
      </c>
      <c r="D43" s="80" t="s">
        <v>88</v>
      </c>
      <c r="E43" s="80" t="s">
        <v>89</v>
      </c>
      <c r="F43" s="80" t="s">
        <v>96</v>
      </c>
      <c r="G43" s="80" t="s">
        <v>74</v>
      </c>
      <c r="H43" s="84">
        <v>45769</v>
      </c>
      <c r="I43" s="84">
        <v>45771</v>
      </c>
      <c r="J43" s="81"/>
      <c r="K43" s="81"/>
      <c r="L43" s="80" t="s">
        <v>31</v>
      </c>
      <c r="M43" s="80"/>
      <c r="N43" s="118"/>
      <c r="O43" s="118"/>
    </row>
    <row r="44" spans="2:15" ht="48" hidden="1" customHeight="1">
      <c r="B44" s="87">
        <v>40</v>
      </c>
      <c r="C44" s="80" t="s">
        <v>26</v>
      </c>
      <c r="D44" s="80" t="s">
        <v>97</v>
      </c>
      <c r="E44" s="80" t="s">
        <v>98</v>
      </c>
      <c r="F44" s="116" t="s">
        <v>99</v>
      </c>
      <c r="G44" s="80" t="s">
        <v>74</v>
      </c>
      <c r="H44" s="84"/>
      <c r="I44" s="84">
        <v>45908</v>
      </c>
      <c r="J44" s="81"/>
      <c r="K44" s="81"/>
      <c r="L44" s="80" t="s">
        <v>31</v>
      </c>
      <c r="M44" s="80"/>
      <c r="N44" s="118"/>
      <c r="O44" s="118"/>
    </row>
    <row r="45" spans="2:15" ht="55.15" hidden="1">
      <c r="B45" s="87">
        <v>78</v>
      </c>
      <c r="C45" s="80" t="s">
        <v>100</v>
      </c>
      <c r="D45" s="80" t="s">
        <v>101</v>
      </c>
      <c r="E45" s="80" t="s">
        <v>102</v>
      </c>
      <c r="F45" s="80" t="s">
        <v>103</v>
      </c>
      <c r="G45" s="80" t="s">
        <v>104</v>
      </c>
      <c r="H45" s="84"/>
      <c r="I45" s="81" t="s">
        <v>105</v>
      </c>
      <c r="J45" s="81" t="s">
        <v>106</v>
      </c>
      <c r="K45" s="81" t="s">
        <v>107</v>
      </c>
      <c r="L45" s="80" t="s">
        <v>21</v>
      </c>
      <c r="M45" s="81" t="s">
        <v>106</v>
      </c>
      <c r="N45" s="118"/>
      <c r="O45" s="118"/>
    </row>
    <row r="46" spans="2:15" hidden="1">
      <c r="B46" s="87">
        <v>41</v>
      </c>
      <c r="C46" s="80" t="s">
        <v>108</v>
      </c>
      <c r="D46" s="80" t="s">
        <v>16</v>
      </c>
      <c r="E46" s="80" t="s">
        <v>109</v>
      </c>
      <c r="F46" s="80"/>
      <c r="G46" s="80" t="s">
        <v>35</v>
      </c>
      <c r="H46" s="84"/>
      <c r="I46" s="81" t="s">
        <v>20</v>
      </c>
      <c r="J46" s="81"/>
      <c r="K46" s="81"/>
      <c r="L46" s="80" t="s">
        <v>21</v>
      </c>
      <c r="M46" s="80"/>
      <c r="N46" s="118"/>
      <c r="O46" s="118"/>
    </row>
    <row r="47" spans="2:15" ht="27.6" hidden="1">
      <c r="B47" s="87">
        <v>42</v>
      </c>
      <c r="C47" s="80" t="s">
        <v>26</v>
      </c>
      <c r="D47" s="80" t="s">
        <v>110</v>
      </c>
      <c r="E47" s="80" t="s">
        <v>111</v>
      </c>
      <c r="F47" s="80"/>
      <c r="G47" s="80" t="s">
        <v>66</v>
      </c>
      <c r="H47" s="84"/>
      <c r="I47" s="84">
        <v>45800</v>
      </c>
      <c r="J47" s="81"/>
      <c r="K47" s="81"/>
      <c r="L47" s="80" t="s">
        <v>31</v>
      </c>
      <c r="M47" s="80"/>
      <c r="N47" s="118"/>
      <c r="O47" s="118"/>
    </row>
    <row r="48" spans="2:15" hidden="1">
      <c r="B48" s="87">
        <v>43</v>
      </c>
      <c r="C48" s="80" t="s">
        <v>26</v>
      </c>
      <c r="D48" s="80" t="s">
        <v>112</v>
      </c>
      <c r="E48" s="80" t="s">
        <v>113</v>
      </c>
      <c r="F48" s="80"/>
      <c r="G48" s="80" t="s">
        <v>35</v>
      </c>
      <c r="H48" s="84">
        <v>45800</v>
      </c>
      <c r="I48" s="84">
        <v>45804</v>
      </c>
      <c r="J48" s="81"/>
      <c r="K48" s="81"/>
      <c r="L48" s="80" t="s">
        <v>31</v>
      </c>
      <c r="M48" s="80"/>
      <c r="N48" s="118"/>
      <c r="O48" s="118"/>
    </row>
    <row r="49" spans="2:15" hidden="1">
      <c r="B49" s="87">
        <v>44</v>
      </c>
      <c r="C49" s="80" t="s">
        <v>26</v>
      </c>
      <c r="D49" s="80" t="s">
        <v>46</v>
      </c>
      <c r="E49" s="80" t="s">
        <v>114</v>
      </c>
      <c r="F49" s="80" t="s">
        <v>115</v>
      </c>
      <c r="G49" s="80" t="s">
        <v>30</v>
      </c>
      <c r="H49" s="84">
        <v>45818</v>
      </c>
      <c r="I49" s="84">
        <v>45819</v>
      </c>
      <c r="J49" s="81"/>
      <c r="K49" s="81"/>
      <c r="L49" s="80" t="s">
        <v>31</v>
      </c>
      <c r="M49" s="80"/>
      <c r="N49" s="118"/>
      <c r="O49" s="118"/>
    </row>
    <row r="50" spans="2:15" hidden="1">
      <c r="B50" s="87">
        <v>45</v>
      </c>
      <c r="C50" s="80" t="s">
        <v>26</v>
      </c>
      <c r="D50" s="80" t="s">
        <v>97</v>
      </c>
      <c r="E50" s="80" t="s">
        <v>116</v>
      </c>
      <c r="F50" s="80"/>
      <c r="G50" s="80" t="s">
        <v>66</v>
      </c>
      <c r="H50" s="84"/>
      <c r="I50" s="84">
        <v>45807</v>
      </c>
      <c r="J50" s="81"/>
      <c r="K50" s="81"/>
      <c r="L50" s="80" t="s">
        <v>31</v>
      </c>
      <c r="M50" s="80"/>
      <c r="N50" s="118"/>
      <c r="O50" s="118"/>
    </row>
    <row r="51" spans="2:15" ht="27.6" hidden="1">
      <c r="B51" s="87">
        <v>46</v>
      </c>
      <c r="C51" s="80" t="s">
        <v>26</v>
      </c>
      <c r="D51" s="80" t="s">
        <v>97</v>
      </c>
      <c r="E51" s="80" t="s">
        <v>117</v>
      </c>
      <c r="F51" s="80" t="s">
        <v>118</v>
      </c>
      <c r="G51" s="80" t="s">
        <v>119</v>
      </c>
      <c r="H51" s="84">
        <v>45810</v>
      </c>
      <c r="I51" s="84">
        <v>45830</v>
      </c>
      <c r="J51" s="81"/>
      <c r="K51" s="81"/>
      <c r="L51" s="80" t="s">
        <v>31</v>
      </c>
      <c r="M51" s="80"/>
      <c r="N51" s="118"/>
      <c r="O51" s="118"/>
    </row>
    <row r="52" spans="2:15" hidden="1">
      <c r="B52" s="87">
        <v>47</v>
      </c>
      <c r="C52" s="80" t="s">
        <v>26</v>
      </c>
      <c r="D52" s="80" t="s">
        <v>112</v>
      </c>
      <c r="E52" s="80" t="s">
        <v>120</v>
      </c>
      <c r="F52" s="80" t="s">
        <v>121</v>
      </c>
      <c r="G52" s="80" t="s">
        <v>35</v>
      </c>
      <c r="H52" s="84">
        <v>45812</v>
      </c>
      <c r="I52" s="84">
        <v>45818</v>
      </c>
      <c r="J52" s="81"/>
      <c r="K52" s="81"/>
      <c r="L52" s="80" t="s">
        <v>31</v>
      </c>
      <c r="M52" s="80"/>
      <c r="N52" s="118"/>
      <c r="O52" s="118"/>
    </row>
    <row r="53" spans="2:15" ht="27.6" hidden="1">
      <c r="B53" s="87">
        <v>48</v>
      </c>
      <c r="C53" s="80" t="s">
        <v>26</v>
      </c>
      <c r="D53" s="80" t="s">
        <v>46</v>
      </c>
      <c r="E53" s="80" t="s">
        <v>122</v>
      </c>
      <c r="F53" s="89" t="s">
        <v>123</v>
      </c>
      <c r="G53" s="80" t="s">
        <v>59</v>
      </c>
      <c r="H53" s="84">
        <v>45825</v>
      </c>
      <c r="I53" s="84">
        <v>45825</v>
      </c>
      <c r="J53" s="81"/>
      <c r="K53" s="81"/>
      <c r="L53" s="80" t="s">
        <v>31</v>
      </c>
      <c r="M53" s="80"/>
      <c r="N53" s="118"/>
      <c r="O53" s="118"/>
    </row>
    <row r="54" spans="2:15" ht="27.6" hidden="1">
      <c r="B54" s="87">
        <v>49</v>
      </c>
      <c r="C54" s="80" t="s">
        <v>26</v>
      </c>
      <c r="D54" s="80" t="s">
        <v>46</v>
      </c>
      <c r="E54" s="80" t="s">
        <v>124</v>
      </c>
      <c r="F54" s="80" t="s">
        <v>125</v>
      </c>
      <c r="G54" s="80" t="s">
        <v>30</v>
      </c>
      <c r="H54" s="84">
        <v>45825</v>
      </c>
      <c r="I54" s="84">
        <v>45828</v>
      </c>
      <c r="J54" s="81"/>
      <c r="K54" s="81"/>
      <c r="L54" s="80" t="s">
        <v>31</v>
      </c>
      <c r="M54" s="80"/>
      <c r="N54" s="118"/>
      <c r="O54" s="118"/>
    </row>
    <row r="55" spans="2:15" ht="69" hidden="1">
      <c r="B55" s="87">
        <v>50</v>
      </c>
      <c r="C55" s="80" t="s">
        <v>26</v>
      </c>
      <c r="D55" s="80" t="s">
        <v>112</v>
      </c>
      <c r="E55" s="80" t="s">
        <v>126</v>
      </c>
      <c r="F55" s="80" t="s">
        <v>127</v>
      </c>
      <c r="G55" s="80" t="s">
        <v>74</v>
      </c>
      <c r="H55" s="84">
        <v>45825</v>
      </c>
      <c r="I55" s="84" t="s">
        <v>20</v>
      </c>
      <c r="J55" s="81" t="s">
        <v>128</v>
      </c>
      <c r="K55" s="81" t="s">
        <v>129</v>
      </c>
      <c r="L55" s="80" t="s">
        <v>21</v>
      </c>
      <c r="M55" s="80"/>
      <c r="N55" s="118"/>
      <c r="O55" s="118"/>
    </row>
    <row r="56" spans="2:15" ht="41.45" hidden="1">
      <c r="B56" s="87">
        <v>76</v>
      </c>
      <c r="C56" s="80" t="s">
        <v>26</v>
      </c>
      <c r="D56" s="80" t="s">
        <v>112</v>
      </c>
      <c r="E56" s="80" t="s">
        <v>130</v>
      </c>
      <c r="F56" s="80" t="s">
        <v>131</v>
      </c>
      <c r="G56" s="80" t="s">
        <v>35</v>
      </c>
      <c r="H56" s="84"/>
      <c r="I56" s="91">
        <v>45856</v>
      </c>
      <c r="J56" s="81"/>
      <c r="K56" s="81"/>
      <c r="L56" s="80" t="s">
        <v>31</v>
      </c>
      <c r="M56" s="80"/>
      <c r="N56" s="118"/>
      <c r="O56" s="118"/>
    </row>
    <row r="57" spans="2:15" ht="41.45" hidden="1">
      <c r="B57" s="87">
        <v>51</v>
      </c>
      <c r="C57" s="85" t="s">
        <v>26</v>
      </c>
      <c r="D57" s="85" t="s">
        <v>112</v>
      </c>
      <c r="E57" s="80" t="s">
        <v>132</v>
      </c>
      <c r="F57" s="80" t="s">
        <v>133</v>
      </c>
      <c r="G57" s="80" t="s">
        <v>35</v>
      </c>
      <c r="H57" s="84">
        <v>45828</v>
      </c>
      <c r="I57" s="91" t="s">
        <v>20</v>
      </c>
      <c r="J57" s="81"/>
      <c r="K57" s="81"/>
      <c r="L57" s="80" t="s">
        <v>31</v>
      </c>
      <c r="M57" s="80"/>
      <c r="N57" s="118"/>
      <c r="O57" s="118"/>
    </row>
    <row r="58" spans="2:15" ht="100.5" hidden="1" customHeight="1">
      <c r="B58" s="87">
        <v>51</v>
      </c>
      <c r="C58" s="85" t="s">
        <v>26</v>
      </c>
      <c r="D58" s="85" t="s">
        <v>112</v>
      </c>
      <c r="E58" s="80" t="s">
        <v>134</v>
      </c>
      <c r="F58" s="146" t="s">
        <v>135</v>
      </c>
      <c r="G58" s="80" t="s">
        <v>59</v>
      </c>
      <c r="H58" s="84" t="s">
        <v>136</v>
      </c>
      <c r="I58" s="163" t="s">
        <v>137</v>
      </c>
      <c r="J58" s="81" t="s">
        <v>128</v>
      </c>
      <c r="K58" s="81" t="s">
        <v>138</v>
      </c>
      <c r="L58" s="80" t="s">
        <v>31</v>
      </c>
      <c r="M58" s="80" t="s">
        <v>139</v>
      </c>
      <c r="N58" s="118"/>
      <c r="O58" s="118"/>
    </row>
    <row r="59" spans="2:15" ht="54" hidden="1" customHeight="1">
      <c r="B59" s="98">
        <v>107</v>
      </c>
      <c r="C59" s="85" t="s">
        <v>26</v>
      </c>
      <c r="D59" s="85" t="s">
        <v>112</v>
      </c>
      <c r="E59" s="80" t="s">
        <v>134</v>
      </c>
      <c r="F59" s="114" t="s">
        <v>140</v>
      </c>
      <c r="G59" s="80" t="s">
        <v>59</v>
      </c>
      <c r="H59" s="84">
        <v>45904</v>
      </c>
      <c r="I59" s="91">
        <v>45909</v>
      </c>
      <c r="J59" s="81"/>
      <c r="K59" s="81"/>
      <c r="L59" s="80" t="s">
        <v>31</v>
      </c>
      <c r="M59" s="80"/>
      <c r="N59" s="118"/>
      <c r="O59" s="118"/>
    </row>
    <row r="60" spans="2:15" ht="27.6" hidden="1">
      <c r="B60" s="87">
        <v>52</v>
      </c>
      <c r="C60" s="85" t="s">
        <v>26</v>
      </c>
      <c r="D60" s="85" t="s">
        <v>112</v>
      </c>
      <c r="E60" s="80" t="s">
        <v>141</v>
      </c>
      <c r="F60" s="80" t="s">
        <v>142</v>
      </c>
      <c r="G60" s="80"/>
      <c r="H60" s="84"/>
      <c r="I60" s="90" t="s">
        <v>20</v>
      </c>
      <c r="J60" s="81"/>
      <c r="K60" s="81"/>
      <c r="L60" s="80" t="s">
        <v>31</v>
      </c>
      <c r="M60" s="80"/>
      <c r="N60" s="118"/>
      <c r="O60" s="118"/>
    </row>
    <row r="61" spans="2:15" hidden="1">
      <c r="B61" s="87">
        <v>53</v>
      </c>
      <c r="C61" s="85" t="s">
        <v>26</v>
      </c>
      <c r="D61" s="80" t="s">
        <v>97</v>
      </c>
      <c r="E61" s="80" t="s">
        <v>143</v>
      </c>
      <c r="F61" s="80" t="s">
        <v>144</v>
      </c>
      <c r="G61" s="80" t="s">
        <v>59</v>
      </c>
      <c r="H61" s="84">
        <v>45834</v>
      </c>
      <c r="I61" s="84">
        <v>45834</v>
      </c>
      <c r="J61" s="81"/>
      <c r="K61" s="81"/>
      <c r="L61" s="80" t="s">
        <v>31</v>
      </c>
      <c r="M61" s="80"/>
      <c r="N61" s="118"/>
      <c r="O61" s="118"/>
    </row>
    <row r="62" spans="2:15" hidden="1">
      <c r="B62" s="87">
        <v>54</v>
      </c>
      <c r="C62" s="85" t="s">
        <v>26</v>
      </c>
      <c r="D62" s="80" t="s">
        <v>97</v>
      </c>
      <c r="E62" s="80" t="s">
        <v>145</v>
      </c>
      <c r="F62" s="80"/>
      <c r="G62" s="80" t="s">
        <v>35</v>
      </c>
      <c r="H62" s="84">
        <v>45834</v>
      </c>
      <c r="I62" s="90" t="s">
        <v>20</v>
      </c>
      <c r="J62" s="81"/>
      <c r="K62" s="81"/>
      <c r="L62" s="80" t="s">
        <v>31</v>
      </c>
      <c r="M62" s="80"/>
      <c r="N62" s="118"/>
      <c r="O62" s="118"/>
    </row>
    <row r="63" spans="2:15" hidden="1">
      <c r="B63" s="87">
        <v>55</v>
      </c>
      <c r="C63" s="85" t="s">
        <v>26</v>
      </c>
      <c r="D63" s="80" t="s">
        <v>97</v>
      </c>
      <c r="E63" s="80" t="s">
        <v>146</v>
      </c>
      <c r="F63" s="80"/>
      <c r="G63" s="80" t="s">
        <v>35</v>
      </c>
      <c r="H63" s="84">
        <v>45835</v>
      </c>
      <c r="I63" s="90" t="s">
        <v>20</v>
      </c>
      <c r="J63" s="81"/>
      <c r="K63" s="81"/>
      <c r="L63" s="80" t="s">
        <v>31</v>
      </c>
      <c r="M63" s="80"/>
      <c r="N63" s="118"/>
      <c r="O63" s="118"/>
    </row>
    <row r="64" spans="2:15" hidden="1">
      <c r="B64" s="87">
        <v>56</v>
      </c>
      <c r="C64" s="85" t="s">
        <v>26</v>
      </c>
      <c r="D64" s="80" t="s">
        <v>97</v>
      </c>
      <c r="E64" s="80" t="s">
        <v>147</v>
      </c>
      <c r="F64" s="80"/>
      <c r="G64" s="80" t="s">
        <v>35</v>
      </c>
      <c r="H64" s="84">
        <v>45838</v>
      </c>
      <c r="I64" s="90" t="s">
        <v>20</v>
      </c>
      <c r="J64" s="81"/>
      <c r="K64" s="81"/>
      <c r="L64" s="80" t="s">
        <v>31</v>
      </c>
      <c r="M64" s="80"/>
      <c r="N64" s="118"/>
      <c r="O64" s="118"/>
    </row>
    <row r="65" spans="2:15" hidden="1">
      <c r="B65" s="87">
        <v>57</v>
      </c>
      <c r="C65" s="85" t="s">
        <v>26</v>
      </c>
      <c r="D65" s="80" t="s">
        <v>97</v>
      </c>
      <c r="E65" s="80" t="s">
        <v>148</v>
      </c>
      <c r="F65" s="80"/>
      <c r="G65" s="80" t="s">
        <v>35</v>
      </c>
      <c r="H65" s="84">
        <v>45839</v>
      </c>
      <c r="I65" s="90" t="s">
        <v>20</v>
      </c>
      <c r="J65" s="81"/>
      <c r="K65" s="81"/>
      <c r="L65" s="80" t="s">
        <v>31</v>
      </c>
      <c r="M65" s="80"/>
      <c r="N65" s="118"/>
      <c r="O65" s="118"/>
    </row>
    <row r="66" spans="2:15" hidden="1">
      <c r="B66" s="87">
        <v>58</v>
      </c>
      <c r="C66" s="85" t="s">
        <v>26</v>
      </c>
      <c r="D66" s="80" t="s">
        <v>97</v>
      </c>
      <c r="E66" s="80" t="s">
        <v>149</v>
      </c>
      <c r="F66" s="80"/>
      <c r="G66" s="80" t="s">
        <v>35</v>
      </c>
      <c r="H66" s="84">
        <v>45840</v>
      </c>
      <c r="I66" s="84">
        <v>45839</v>
      </c>
      <c r="J66" s="81"/>
      <c r="K66" s="81"/>
      <c r="L66" s="80" t="s">
        <v>31</v>
      </c>
      <c r="M66" s="80"/>
      <c r="N66" s="118"/>
      <c r="O66" s="118"/>
    </row>
    <row r="67" spans="2:15" hidden="1">
      <c r="B67" s="87">
        <v>59</v>
      </c>
      <c r="C67" s="85" t="s">
        <v>26</v>
      </c>
      <c r="D67" s="80" t="s">
        <v>97</v>
      </c>
      <c r="E67" s="80" t="s">
        <v>150</v>
      </c>
      <c r="F67" s="80"/>
      <c r="G67" s="80" t="s">
        <v>35</v>
      </c>
      <c r="H67" s="84">
        <v>45841</v>
      </c>
      <c r="I67" s="84">
        <v>45839</v>
      </c>
      <c r="J67" s="81"/>
      <c r="K67" s="81"/>
      <c r="L67" s="80" t="s">
        <v>31</v>
      </c>
      <c r="M67" s="80"/>
      <c r="N67" s="118"/>
      <c r="O67" s="118"/>
    </row>
    <row r="68" spans="2:15" ht="27.6" hidden="1">
      <c r="B68" s="87">
        <v>60</v>
      </c>
      <c r="C68" s="85" t="s">
        <v>26</v>
      </c>
      <c r="D68" s="80" t="s">
        <v>46</v>
      </c>
      <c r="E68" s="80" t="s">
        <v>151</v>
      </c>
      <c r="F68" s="80"/>
      <c r="G68" s="80" t="s">
        <v>59</v>
      </c>
      <c r="H68" s="84">
        <v>45832</v>
      </c>
      <c r="I68" s="84">
        <v>45832</v>
      </c>
      <c r="J68" s="81"/>
      <c r="K68" s="81"/>
      <c r="L68" s="80" t="s">
        <v>31</v>
      </c>
      <c r="M68" s="80"/>
      <c r="N68" s="118"/>
      <c r="O68" s="118"/>
    </row>
    <row r="69" spans="2:15" hidden="1">
      <c r="B69" s="87">
        <v>61</v>
      </c>
      <c r="C69" s="85" t="s">
        <v>26</v>
      </c>
      <c r="D69" s="80" t="s">
        <v>46</v>
      </c>
      <c r="E69" s="80" t="s">
        <v>152</v>
      </c>
      <c r="F69" s="80" t="s">
        <v>144</v>
      </c>
      <c r="G69" s="80" t="s">
        <v>59</v>
      </c>
      <c r="H69" s="84"/>
      <c r="I69" s="90" t="s">
        <v>20</v>
      </c>
      <c r="J69" s="81"/>
      <c r="K69" s="81"/>
      <c r="L69" s="80" t="s">
        <v>31</v>
      </c>
      <c r="M69" s="80"/>
      <c r="N69" s="118"/>
      <c r="O69" s="118"/>
    </row>
    <row r="70" spans="2:15" hidden="1">
      <c r="B70" s="87">
        <f>B69+1</f>
        <v>62</v>
      </c>
      <c r="C70" s="85" t="s">
        <v>26</v>
      </c>
      <c r="D70" s="80" t="s">
        <v>46</v>
      </c>
      <c r="E70" s="80" t="s">
        <v>153</v>
      </c>
      <c r="F70" s="80" t="s">
        <v>144</v>
      </c>
      <c r="G70" s="80" t="s">
        <v>59</v>
      </c>
      <c r="H70" s="84">
        <v>45838</v>
      </c>
      <c r="I70" s="84">
        <v>45839</v>
      </c>
      <c r="J70" s="81"/>
      <c r="K70" s="81"/>
      <c r="L70" s="80" t="s">
        <v>31</v>
      </c>
      <c r="M70" s="80"/>
      <c r="N70" s="118"/>
      <c r="O70" s="118"/>
    </row>
    <row r="71" spans="2:15" hidden="1">
      <c r="B71" s="87">
        <f t="shared" ref="B71:B74" si="1">B70+1</f>
        <v>63</v>
      </c>
      <c r="C71" s="85" t="s">
        <v>26</v>
      </c>
      <c r="D71" s="80" t="s">
        <v>46</v>
      </c>
      <c r="E71" s="80" t="s">
        <v>154</v>
      </c>
      <c r="F71" s="80" t="s">
        <v>99</v>
      </c>
      <c r="G71" s="80" t="s">
        <v>59</v>
      </c>
      <c r="H71" s="84">
        <v>45839</v>
      </c>
      <c r="I71" s="90" t="s">
        <v>20</v>
      </c>
      <c r="J71" s="81"/>
      <c r="K71" s="81"/>
      <c r="L71" s="80" t="s">
        <v>31</v>
      </c>
      <c r="M71" s="80"/>
      <c r="N71" s="118"/>
      <c r="O71" s="118"/>
    </row>
    <row r="72" spans="2:15" hidden="1">
      <c r="B72" s="87">
        <f t="shared" si="1"/>
        <v>64</v>
      </c>
      <c r="C72" s="85" t="s">
        <v>26</v>
      </c>
      <c r="D72" s="80" t="s">
        <v>46</v>
      </c>
      <c r="E72" s="80" t="s">
        <v>155</v>
      </c>
      <c r="F72" s="80" t="s">
        <v>156</v>
      </c>
      <c r="G72" s="80" t="s">
        <v>59</v>
      </c>
      <c r="H72" s="84">
        <v>45839</v>
      </c>
      <c r="I72" s="90" t="s">
        <v>20</v>
      </c>
      <c r="J72" s="81"/>
      <c r="K72" s="81"/>
      <c r="L72" s="80" t="s">
        <v>31</v>
      </c>
      <c r="M72" s="80"/>
      <c r="N72" s="118"/>
      <c r="O72" s="118"/>
    </row>
    <row r="73" spans="2:15" hidden="1">
      <c r="B73" s="87">
        <f t="shared" si="1"/>
        <v>65</v>
      </c>
      <c r="C73" s="85" t="s">
        <v>26</v>
      </c>
      <c r="D73" s="80" t="s">
        <v>46</v>
      </c>
      <c r="E73" s="80" t="s">
        <v>157</v>
      </c>
      <c r="F73" s="80" t="s">
        <v>99</v>
      </c>
      <c r="G73" s="80" t="s">
        <v>59</v>
      </c>
      <c r="H73" s="84">
        <v>45839</v>
      </c>
      <c r="I73" s="90" t="s">
        <v>20</v>
      </c>
      <c r="J73" s="81"/>
      <c r="K73" s="81"/>
      <c r="L73" s="80" t="s">
        <v>31</v>
      </c>
      <c r="M73" s="80"/>
      <c r="N73" s="118"/>
      <c r="O73" s="118"/>
    </row>
    <row r="74" spans="2:15" hidden="1">
      <c r="B74" s="87">
        <f t="shared" si="1"/>
        <v>66</v>
      </c>
      <c r="C74" s="85" t="s">
        <v>26</v>
      </c>
      <c r="D74" s="80" t="s">
        <v>46</v>
      </c>
      <c r="E74" s="80" t="s">
        <v>158</v>
      </c>
      <c r="F74" s="80" t="s">
        <v>99</v>
      </c>
      <c r="G74" s="80" t="s">
        <v>59</v>
      </c>
      <c r="H74" s="84">
        <v>45839</v>
      </c>
      <c r="I74" s="90" t="s">
        <v>20</v>
      </c>
      <c r="J74" s="81"/>
      <c r="K74" s="81"/>
      <c r="L74" s="80" t="s">
        <v>31</v>
      </c>
      <c r="M74" s="80"/>
      <c r="N74" s="118"/>
      <c r="O74" s="118"/>
    </row>
    <row r="75" spans="2:15" hidden="1">
      <c r="B75" s="87">
        <v>67</v>
      </c>
      <c r="C75" s="85" t="s">
        <v>26</v>
      </c>
      <c r="D75" s="80"/>
      <c r="E75" s="80" t="s">
        <v>159</v>
      </c>
      <c r="F75" s="80"/>
      <c r="G75" s="80"/>
      <c r="H75" s="84"/>
      <c r="I75" s="90" t="s">
        <v>20</v>
      </c>
      <c r="J75" s="81"/>
      <c r="K75" s="81"/>
      <c r="L75" s="80" t="s">
        <v>31</v>
      </c>
      <c r="M75" s="80"/>
      <c r="N75" s="118"/>
      <c r="O75" s="118"/>
    </row>
    <row r="76" spans="2:15" ht="27.6" hidden="1">
      <c r="B76" s="87">
        <v>68</v>
      </c>
      <c r="C76" s="80" t="s">
        <v>100</v>
      </c>
      <c r="D76" s="80" t="s">
        <v>160</v>
      </c>
      <c r="E76" s="80" t="s">
        <v>161</v>
      </c>
      <c r="F76" s="80" t="s">
        <v>162</v>
      </c>
      <c r="G76" s="80" t="s">
        <v>74</v>
      </c>
      <c r="H76" s="84" t="s">
        <v>163</v>
      </c>
      <c r="I76" s="91">
        <v>45842</v>
      </c>
      <c r="J76" s="81"/>
      <c r="K76" s="81"/>
      <c r="L76" s="80" t="s">
        <v>31</v>
      </c>
      <c r="M76" s="80"/>
      <c r="N76" s="118"/>
      <c r="O76" s="118"/>
    </row>
    <row r="77" spans="2:15" ht="27.6" hidden="1">
      <c r="B77" s="87">
        <v>69</v>
      </c>
      <c r="C77" s="80" t="s">
        <v>100</v>
      </c>
      <c r="D77" s="80" t="s">
        <v>160</v>
      </c>
      <c r="E77" s="80" t="s">
        <v>164</v>
      </c>
      <c r="F77" s="80" t="s">
        <v>165</v>
      </c>
      <c r="G77" s="80" t="s">
        <v>166</v>
      </c>
      <c r="H77" s="84">
        <v>45839</v>
      </c>
      <c r="I77" s="91">
        <v>45840</v>
      </c>
      <c r="J77" s="81"/>
      <c r="K77" s="81"/>
      <c r="L77" s="80" t="s">
        <v>31</v>
      </c>
      <c r="M77" s="80"/>
      <c r="N77" s="118"/>
      <c r="O77" s="118"/>
    </row>
    <row r="78" spans="2:15" ht="27.6" hidden="1">
      <c r="B78" s="87">
        <v>70</v>
      </c>
      <c r="C78" s="80" t="s">
        <v>100</v>
      </c>
      <c r="D78" s="80" t="s">
        <v>167</v>
      </c>
      <c r="E78" s="80" t="s">
        <v>168</v>
      </c>
      <c r="F78" s="80"/>
      <c r="G78" s="80" t="s">
        <v>35</v>
      </c>
      <c r="H78" s="84">
        <v>45839</v>
      </c>
      <c r="I78" s="84">
        <v>45847</v>
      </c>
      <c r="J78" s="81"/>
      <c r="K78" s="81"/>
      <c r="L78" s="80" t="s">
        <v>31</v>
      </c>
      <c r="M78" s="80"/>
      <c r="N78" s="118"/>
      <c r="O78" s="118"/>
    </row>
    <row r="79" spans="2:15" hidden="1">
      <c r="B79" s="98">
        <v>71</v>
      </c>
      <c r="C79" s="92" t="s">
        <v>26</v>
      </c>
      <c r="D79" s="92" t="s">
        <v>97</v>
      </c>
      <c r="E79" s="92" t="s">
        <v>169</v>
      </c>
      <c r="F79" s="92" t="s">
        <v>170</v>
      </c>
      <c r="G79" s="92" t="s">
        <v>59</v>
      </c>
      <c r="H79" s="93"/>
      <c r="I79" s="96">
        <v>45841</v>
      </c>
      <c r="J79" s="94"/>
      <c r="K79" s="111"/>
      <c r="L79" s="80" t="s">
        <v>31</v>
      </c>
      <c r="M79" s="95"/>
      <c r="N79" s="118"/>
      <c r="O79" s="118"/>
    </row>
    <row r="80" spans="2:15" hidden="1">
      <c r="B80" s="87">
        <v>72</v>
      </c>
      <c r="C80" s="80" t="s">
        <v>26</v>
      </c>
      <c r="D80" s="80" t="s">
        <v>97</v>
      </c>
      <c r="E80" s="80" t="s">
        <v>169</v>
      </c>
      <c r="F80" s="80" t="s">
        <v>171</v>
      </c>
      <c r="G80" s="80" t="s">
        <v>30</v>
      </c>
      <c r="H80" s="84">
        <v>45841</v>
      </c>
      <c r="I80" s="84">
        <v>45842</v>
      </c>
      <c r="J80" s="81"/>
      <c r="K80" s="81"/>
      <c r="L80" s="80" t="s">
        <v>31</v>
      </c>
      <c r="M80" s="80"/>
      <c r="N80" s="118"/>
      <c r="O80" s="118"/>
    </row>
    <row r="81" spans="2:15" ht="27.6" hidden="1">
      <c r="B81" s="87">
        <v>73</v>
      </c>
      <c r="C81" s="92" t="s">
        <v>100</v>
      </c>
      <c r="D81" s="92" t="s">
        <v>46</v>
      </c>
      <c r="E81" s="80" t="s">
        <v>172</v>
      </c>
      <c r="F81" s="80"/>
      <c r="G81" s="80" t="s">
        <v>59</v>
      </c>
      <c r="H81" s="84"/>
      <c r="I81" s="84">
        <v>45853</v>
      </c>
      <c r="J81" s="81"/>
      <c r="K81" s="81"/>
      <c r="L81" s="80" t="s">
        <v>31</v>
      </c>
      <c r="M81" s="80"/>
      <c r="N81" s="118"/>
      <c r="O81" s="118"/>
    </row>
    <row r="82" spans="2:15" ht="27.6" hidden="1">
      <c r="B82" s="87">
        <v>77</v>
      </c>
      <c r="C82" s="80" t="s">
        <v>100</v>
      </c>
      <c r="D82" s="80" t="s">
        <v>46</v>
      </c>
      <c r="E82" s="80" t="s">
        <v>173</v>
      </c>
      <c r="F82" s="80" t="s">
        <v>174</v>
      </c>
      <c r="G82" s="80" t="s">
        <v>59</v>
      </c>
      <c r="H82" s="84"/>
      <c r="I82" s="84">
        <v>45853</v>
      </c>
      <c r="J82" s="81"/>
      <c r="K82" s="81"/>
      <c r="L82" s="80" t="s">
        <v>31</v>
      </c>
      <c r="M82" s="80"/>
      <c r="N82" s="118"/>
      <c r="O82" s="118"/>
    </row>
    <row r="83" spans="2:15" ht="27.6" hidden="1">
      <c r="B83" s="87">
        <v>74</v>
      </c>
      <c r="C83" s="80" t="s">
        <v>100</v>
      </c>
      <c r="D83" s="80" t="s">
        <v>167</v>
      </c>
      <c r="E83" s="80" t="s">
        <v>175</v>
      </c>
      <c r="F83" s="80"/>
      <c r="G83" s="80" t="s">
        <v>35</v>
      </c>
      <c r="H83" s="84"/>
      <c r="I83" s="84">
        <v>45849</v>
      </c>
      <c r="J83" s="81"/>
      <c r="K83" s="81"/>
      <c r="L83" s="80" t="s">
        <v>31</v>
      </c>
      <c r="M83" s="80"/>
      <c r="N83" s="118"/>
      <c r="O83" s="118"/>
    </row>
    <row r="84" spans="2:15" ht="41.45" hidden="1">
      <c r="B84" s="87">
        <v>74</v>
      </c>
      <c r="C84" s="80" t="s">
        <v>100</v>
      </c>
      <c r="D84" s="80" t="s">
        <v>160</v>
      </c>
      <c r="E84" s="80" t="s">
        <v>176</v>
      </c>
      <c r="F84" s="80" t="s">
        <v>177</v>
      </c>
      <c r="G84" s="80" t="s">
        <v>74</v>
      </c>
      <c r="H84" s="84">
        <v>45846</v>
      </c>
      <c r="I84" s="81" t="s">
        <v>20</v>
      </c>
      <c r="J84" s="81"/>
      <c r="K84" s="81"/>
      <c r="L84" s="80" t="s">
        <v>21</v>
      </c>
      <c r="M84" s="80"/>
      <c r="N84" s="118"/>
      <c r="O84" s="118"/>
    </row>
    <row r="85" spans="2:15" ht="27.6" hidden="1">
      <c r="B85" s="87">
        <v>75</v>
      </c>
      <c r="C85" s="80" t="s">
        <v>100</v>
      </c>
      <c r="D85" s="80" t="s">
        <v>160</v>
      </c>
      <c r="E85" s="80" t="s">
        <v>161</v>
      </c>
      <c r="F85" s="80" t="s">
        <v>178</v>
      </c>
      <c r="G85" s="80" t="s">
        <v>20</v>
      </c>
      <c r="H85" s="84">
        <v>45846</v>
      </c>
      <c r="I85" s="81" t="s">
        <v>179</v>
      </c>
      <c r="J85" s="81"/>
      <c r="K85" s="81"/>
      <c r="L85" s="80" t="s">
        <v>31</v>
      </c>
      <c r="M85" s="80"/>
      <c r="N85" s="118"/>
      <c r="O85" s="118"/>
    </row>
    <row r="86" spans="2:15" ht="27.6" hidden="1">
      <c r="B86" s="87">
        <v>76</v>
      </c>
      <c r="C86" s="80" t="s">
        <v>26</v>
      </c>
      <c r="D86" s="80" t="s">
        <v>46</v>
      </c>
      <c r="E86" s="80" t="s">
        <v>180</v>
      </c>
      <c r="F86" s="80" t="s">
        <v>181</v>
      </c>
      <c r="G86" s="80" t="s">
        <v>59</v>
      </c>
      <c r="H86" s="84">
        <v>45848</v>
      </c>
      <c r="I86" s="81" t="s">
        <v>182</v>
      </c>
      <c r="J86" s="81"/>
      <c r="K86" s="81"/>
      <c r="L86" s="80" t="s">
        <v>31</v>
      </c>
      <c r="M86" s="80"/>
      <c r="N86" s="118"/>
      <c r="O86" s="118"/>
    </row>
    <row r="87" spans="2:15" ht="27.6" hidden="1">
      <c r="B87" s="87">
        <v>77</v>
      </c>
      <c r="C87" s="80" t="s">
        <v>100</v>
      </c>
      <c r="D87" s="80" t="s">
        <v>167</v>
      </c>
      <c r="E87" s="80" t="s">
        <v>183</v>
      </c>
      <c r="F87" s="80" t="s">
        <v>184</v>
      </c>
      <c r="G87" s="80" t="s">
        <v>59</v>
      </c>
      <c r="H87" s="84"/>
      <c r="I87" s="81" t="s">
        <v>185</v>
      </c>
      <c r="J87" s="81"/>
      <c r="K87" s="81"/>
      <c r="L87" s="80" t="s">
        <v>31</v>
      </c>
      <c r="M87" s="80"/>
      <c r="N87" s="118"/>
      <c r="O87" s="118"/>
    </row>
    <row r="88" spans="2:15" ht="27.6" hidden="1">
      <c r="B88" s="87">
        <v>79</v>
      </c>
      <c r="C88" s="85" t="s">
        <v>26</v>
      </c>
      <c r="D88" s="85" t="s">
        <v>112</v>
      </c>
      <c r="E88" s="80" t="s">
        <v>186</v>
      </c>
      <c r="F88" s="80" t="s">
        <v>187</v>
      </c>
      <c r="G88" s="80" t="s">
        <v>35</v>
      </c>
      <c r="H88" s="84"/>
      <c r="I88" s="84">
        <v>45863</v>
      </c>
      <c r="J88" s="81"/>
      <c r="K88" s="81"/>
      <c r="L88" s="80" t="s">
        <v>31</v>
      </c>
      <c r="M88" s="80"/>
      <c r="N88" s="118"/>
      <c r="O88" s="118"/>
    </row>
    <row r="89" spans="2:15" ht="27.6" hidden="1">
      <c r="B89" s="87">
        <v>80</v>
      </c>
      <c r="C89" s="85" t="s">
        <v>26</v>
      </c>
      <c r="D89" s="80" t="s">
        <v>46</v>
      </c>
      <c r="E89" s="80" t="s">
        <v>188</v>
      </c>
      <c r="F89" s="80" t="s">
        <v>187</v>
      </c>
      <c r="G89" s="80" t="s">
        <v>30</v>
      </c>
      <c r="H89" s="84">
        <v>45861</v>
      </c>
      <c r="I89" s="81"/>
      <c r="J89" s="81"/>
      <c r="K89" s="81"/>
      <c r="L89" s="80" t="s">
        <v>31</v>
      </c>
      <c r="M89" s="80"/>
      <c r="N89" s="118"/>
      <c r="O89" s="118"/>
    </row>
    <row r="90" spans="2:15" ht="55.15" hidden="1">
      <c r="B90" s="87">
        <v>81</v>
      </c>
      <c r="C90" s="85" t="s">
        <v>26</v>
      </c>
      <c r="D90" s="80" t="s">
        <v>189</v>
      </c>
      <c r="E90" s="80" t="s">
        <v>190</v>
      </c>
      <c r="F90" s="99" t="s">
        <v>191</v>
      </c>
      <c r="G90" s="80" t="s">
        <v>59</v>
      </c>
      <c r="H90" s="84">
        <v>45862</v>
      </c>
      <c r="I90" s="84">
        <v>45884</v>
      </c>
      <c r="J90" s="81"/>
      <c r="K90" s="81"/>
      <c r="L90" s="80" t="s">
        <v>31</v>
      </c>
      <c r="M90" s="80"/>
      <c r="N90" s="118"/>
      <c r="O90" s="118"/>
    </row>
    <row r="91" spans="2:15" ht="27.6" hidden="1">
      <c r="B91" s="87">
        <v>82</v>
      </c>
      <c r="C91" s="85" t="s">
        <v>100</v>
      </c>
      <c r="D91" s="80" t="s">
        <v>112</v>
      </c>
      <c r="E91" s="80" t="s">
        <v>192</v>
      </c>
      <c r="F91" s="80" t="s">
        <v>193</v>
      </c>
      <c r="G91" s="80" t="s">
        <v>35</v>
      </c>
      <c r="H91" s="84">
        <v>45863</v>
      </c>
      <c r="I91" s="81" t="s">
        <v>105</v>
      </c>
      <c r="J91" s="81"/>
      <c r="K91" s="81"/>
      <c r="L91" s="80" t="s">
        <v>21</v>
      </c>
      <c r="M91" s="80" t="s">
        <v>194</v>
      </c>
      <c r="N91" s="118"/>
      <c r="O91" s="118"/>
    </row>
    <row r="92" spans="2:15" ht="41.45" hidden="1">
      <c r="B92" s="98">
        <v>90</v>
      </c>
      <c r="C92" s="85" t="s">
        <v>26</v>
      </c>
      <c r="D92" s="85" t="s">
        <v>112</v>
      </c>
      <c r="E92" s="80" t="s">
        <v>134</v>
      </c>
      <c r="F92" s="80" t="s">
        <v>195</v>
      </c>
      <c r="G92" s="80" t="s">
        <v>59</v>
      </c>
      <c r="H92" s="84">
        <v>45863</v>
      </c>
      <c r="I92" s="81" t="s">
        <v>20</v>
      </c>
      <c r="J92" s="81"/>
      <c r="K92" s="81"/>
      <c r="L92" s="80" t="s">
        <v>31</v>
      </c>
      <c r="M92" s="80"/>
      <c r="N92" s="118"/>
      <c r="O92" s="118"/>
    </row>
    <row r="93" spans="2:15" hidden="1">
      <c r="B93" s="87">
        <v>83</v>
      </c>
      <c r="C93" s="85" t="s">
        <v>100</v>
      </c>
      <c r="D93" s="80" t="s">
        <v>160</v>
      </c>
      <c r="E93" s="80" t="s">
        <v>196</v>
      </c>
      <c r="F93" s="80" t="s">
        <v>197</v>
      </c>
      <c r="G93" s="80" t="s">
        <v>59</v>
      </c>
      <c r="H93" s="84">
        <v>45867</v>
      </c>
      <c r="I93" s="81" t="s">
        <v>20</v>
      </c>
      <c r="J93" s="81"/>
      <c r="K93" s="81"/>
      <c r="L93" s="80" t="s">
        <v>31</v>
      </c>
      <c r="M93" s="80"/>
      <c r="N93" s="118"/>
      <c r="O93" s="118"/>
    </row>
    <row r="94" spans="2:15" ht="27.6" hidden="1">
      <c r="B94" s="98">
        <v>79</v>
      </c>
      <c r="C94" s="80" t="s">
        <v>100</v>
      </c>
      <c r="D94" s="80" t="s">
        <v>167</v>
      </c>
      <c r="E94" s="80" t="s">
        <v>198</v>
      </c>
      <c r="F94" s="80" t="s">
        <v>199</v>
      </c>
      <c r="G94" s="80" t="s">
        <v>200</v>
      </c>
      <c r="H94" s="84" t="s">
        <v>185</v>
      </c>
      <c r="I94" s="81" t="s">
        <v>20</v>
      </c>
      <c r="J94" s="81"/>
      <c r="K94" s="81"/>
      <c r="L94" s="80" t="s">
        <v>31</v>
      </c>
      <c r="M94" s="80"/>
      <c r="N94" s="118"/>
      <c r="O94" s="118"/>
    </row>
    <row r="95" spans="2:15" ht="41.45" hidden="1">
      <c r="B95" s="98">
        <v>84</v>
      </c>
      <c r="C95" s="85" t="s">
        <v>100</v>
      </c>
      <c r="D95" s="80" t="s">
        <v>167</v>
      </c>
      <c r="E95" s="80" t="s">
        <v>201</v>
      </c>
      <c r="F95" s="80" t="s">
        <v>202</v>
      </c>
      <c r="G95" s="80" t="s">
        <v>35</v>
      </c>
      <c r="H95" s="84">
        <v>45867</v>
      </c>
      <c r="I95" s="81" t="s">
        <v>20</v>
      </c>
      <c r="J95" s="81"/>
      <c r="K95" s="81"/>
      <c r="L95" s="80" t="s">
        <v>21</v>
      </c>
      <c r="M95" s="80" t="s">
        <v>203</v>
      </c>
      <c r="N95" s="118"/>
      <c r="O95" s="118"/>
    </row>
    <row r="96" spans="2:15" hidden="1">
      <c r="B96" s="87">
        <v>85</v>
      </c>
      <c r="C96" s="85" t="s">
        <v>100</v>
      </c>
      <c r="D96" s="80" t="s">
        <v>204</v>
      </c>
      <c r="E96" s="80" t="s">
        <v>205</v>
      </c>
      <c r="F96" s="80" t="s">
        <v>206</v>
      </c>
      <c r="G96" s="80" t="s">
        <v>35</v>
      </c>
      <c r="H96" s="84">
        <v>45867</v>
      </c>
      <c r="I96" s="84">
        <v>45868</v>
      </c>
      <c r="J96" s="81"/>
      <c r="K96" s="81"/>
      <c r="L96" s="80" t="s">
        <v>31</v>
      </c>
      <c r="M96" s="80"/>
      <c r="N96" s="118"/>
      <c r="O96" s="118"/>
    </row>
    <row r="97" spans="2:15" hidden="1">
      <c r="B97" s="87">
        <v>86</v>
      </c>
      <c r="C97" s="85" t="s">
        <v>100</v>
      </c>
      <c r="D97" s="80" t="s">
        <v>207</v>
      </c>
      <c r="E97" s="80" t="s">
        <v>208</v>
      </c>
      <c r="F97" s="80" t="s">
        <v>206</v>
      </c>
      <c r="G97" s="80" t="s">
        <v>35</v>
      </c>
      <c r="H97" s="84">
        <v>45867</v>
      </c>
      <c r="I97" s="84">
        <v>45869</v>
      </c>
      <c r="J97" s="81"/>
      <c r="K97" s="81"/>
      <c r="L97" s="80" t="s">
        <v>31</v>
      </c>
      <c r="M97" s="80"/>
      <c r="N97" s="118"/>
      <c r="O97" s="118"/>
    </row>
    <row r="98" spans="2:15" hidden="1">
      <c r="B98" s="87">
        <v>87</v>
      </c>
      <c r="C98" s="85" t="s">
        <v>100</v>
      </c>
      <c r="D98" s="80" t="s">
        <v>167</v>
      </c>
      <c r="E98" s="80" t="s">
        <v>209</v>
      </c>
      <c r="F98" s="80" t="s">
        <v>210</v>
      </c>
      <c r="G98" s="80" t="s">
        <v>166</v>
      </c>
      <c r="H98" s="84">
        <v>45867</v>
      </c>
      <c r="I98" s="81" t="s">
        <v>20</v>
      </c>
      <c r="J98" s="81"/>
      <c r="K98" s="81"/>
      <c r="L98" s="80" t="s">
        <v>31</v>
      </c>
      <c r="M98" s="80"/>
      <c r="N98" s="118"/>
      <c r="O98" s="118"/>
    </row>
    <row r="99" spans="2:15" hidden="1">
      <c r="B99" s="87">
        <v>88</v>
      </c>
      <c r="C99" s="85" t="s">
        <v>26</v>
      </c>
      <c r="D99" s="80" t="s">
        <v>46</v>
      </c>
      <c r="E99" s="80" t="s">
        <v>211</v>
      </c>
      <c r="F99" s="80" t="s">
        <v>133</v>
      </c>
      <c r="G99" s="80" t="s">
        <v>30</v>
      </c>
      <c r="H99" s="84">
        <v>45866</v>
      </c>
      <c r="I99" s="84">
        <v>45869</v>
      </c>
      <c r="J99" s="81"/>
      <c r="K99" s="81"/>
      <c r="L99" s="80" t="s">
        <v>31</v>
      </c>
      <c r="M99" s="80"/>
      <c r="N99" s="118"/>
      <c r="O99" s="118"/>
    </row>
    <row r="100" spans="2:15" hidden="1">
      <c r="B100" s="87">
        <v>89</v>
      </c>
      <c r="C100" s="80" t="s">
        <v>26</v>
      </c>
      <c r="D100" s="80" t="s">
        <v>97</v>
      </c>
      <c r="E100" s="80" t="s">
        <v>212</v>
      </c>
      <c r="F100" s="80" t="s">
        <v>171</v>
      </c>
      <c r="G100" s="80" t="s">
        <v>30</v>
      </c>
      <c r="H100" s="84">
        <v>45869</v>
      </c>
      <c r="I100" s="84">
        <v>45870</v>
      </c>
      <c r="J100" s="81"/>
      <c r="K100" s="81"/>
      <c r="L100" s="80" t="s">
        <v>31</v>
      </c>
      <c r="M100" s="80"/>
      <c r="N100" s="118"/>
      <c r="O100" s="118"/>
    </row>
    <row r="101" spans="2:15" ht="27.6" hidden="1">
      <c r="B101" s="87">
        <v>90</v>
      </c>
      <c r="C101" s="85" t="s">
        <v>100</v>
      </c>
      <c r="D101" s="80" t="s">
        <v>213</v>
      </c>
      <c r="E101" s="80" t="s">
        <v>214</v>
      </c>
      <c r="F101" s="80" t="s">
        <v>215</v>
      </c>
      <c r="G101" s="80" t="s">
        <v>59</v>
      </c>
      <c r="H101" s="84">
        <v>45873</v>
      </c>
      <c r="I101" s="84" t="s">
        <v>20</v>
      </c>
      <c r="J101" s="81"/>
      <c r="K101" s="81"/>
      <c r="L101" s="80" t="s">
        <v>31</v>
      </c>
      <c r="M101" s="80"/>
      <c r="N101" s="118"/>
      <c r="O101" s="118"/>
    </row>
    <row r="102" spans="2:15" ht="41.45" hidden="1">
      <c r="B102" s="98">
        <v>92</v>
      </c>
      <c r="C102" s="85" t="s">
        <v>100</v>
      </c>
      <c r="D102" s="80" t="s">
        <v>46</v>
      </c>
      <c r="E102" s="80" t="s">
        <v>216</v>
      </c>
      <c r="F102" s="89" t="s">
        <v>217</v>
      </c>
      <c r="G102" s="80" t="s">
        <v>59</v>
      </c>
      <c r="H102" s="84" t="s">
        <v>218</v>
      </c>
      <c r="I102" s="84" t="s">
        <v>218</v>
      </c>
      <c r="J102" s="81"/>
      <c r="K102" s="81"/>
      <c r="L102" s="80" t="s">
        <v>31</v>
      </c>
      <c r="M102" s="80"/>
      <c r="N102" s="118"/>
      <c r="O102" s="118"/>
    </row>
    <row r="103" spans="2:15" hidden="1">
      <c r="B103" s="98">
        <v>93</v>
      </c>
      <c r="C103" s="85" t="s">
        <v>26</v>
      </c>
      <c r="D103" s="80" t="s">
        <v>46</v>
      </c>
      <c r="E103" s="80" t="s">
        <v>219</v>
      </c>
      <c r="F103" s="80" t="s">
        <v>220</v>
      </c>
      <c r="G103" s="80" t="s">
        <v>59</v>
      </c>
      <c r="H103" s="84" t="s">
        <v>221</v>
      </c>
      <c r="I103" s="84" t="s">
        <v>218</v>
      </c>
      <c r="J103" s="81"/>
      <c r="K103" s="81"/>
      <c r="L103" s="80" t="s">
        <v>31</v>
      </c>
      <c r="M103" s="80"/>
      <c r="N103" s="118"/>
      <c r="O103" s="118"/>
    </row>
    <row r="104" spans="2:15" ht="120.75" hidden="1" customHeight="1">
      <c r="B104" s="87">
        <v>91</v>
      </c>
      <c r="C104" s="80" t="s">
        <v>26</v>
      </c>
      <c r="D104" s="80" t="s">
        <v>46</v>
      </c>
      <c r="E104" s="80" t="s">
        <v>222</v>
      </c>
      <c r="F104" s="115" t="s">
        <v>223</v>
      </c>
      <c r="G104" s="80" t="s">
        <v>224</v>
      </c>
      <c r="H104" s="84">
        <v>45866</v>
      </c>
      <c r="I104" s="84" t="s">
        <v>20</v>
      </c>
      <c r="J104" s="112" t="s">
        <v>225</v>
      </c>
      <c r="K104" s="81" t="s">
        <v>226</v>
      </c>
      <c r="L104" s="80" t="s">
        <v>31</v>
      </c>
      <c r="M104" s="80"/>
      <c r="N104" s="118"/>
      <c r="O104" s="118"/>
    </row>
    <row r="105" spans="2:15" ht="82.9" hidden="1">
      <c r="B105" s="87">
        <v>94</v>
      </c>
      <c r="C105" s="85" t="s">
        <v>100</v>
      </c>
      <c r="D105" s="80" t="s">
        <v>227</v>
      </c>
      <c r="E105" s="80" t="s">
        <v>228</v>
      </c>
      <c r="F105" s="80" t="s">
        <v>229</v>
      </c>
      <c r="G105" s="80" t="s">
        <v>30</v>
      </c>
      <c r="H105" s="84">
        <v>45890</v>
      </c>
      <c r="I105" s="84" t="s">
        <v>105</v>
      </c>
      <c r="J105" s="81" t="s">
        <v>230</v>
      </c>
      <c r="K105" s="81" t="s">
        <v>231</v>
      </c>
      <c r="L105" s="80" t="s">
        <v>31</v>
      </c>
      <c r="M105" s="80"/>
      <c r="N105" s="118"/>
      <c r="O105" s="118"/>
    </row>
    <row r="106" spans="2:15" hidden="1">
      <c r="B106" s="87">
        <v>93</v>
      </c>
      <c r="C106" s="85" t="s">
        <v>100</v>
      </c>
      <c r="D106" s="80" t="s">
        <v>160</v>
      </c>
      <c r="E106" s="80" t="s">
        <v>232</v>
      </c>
      <c r="F106" s="80"/>
      <c r="G106" s="80" t="s">
        <v>59</v>
      </c>
      <c r="H106" s="84"/>
      <c r="I106" s="84">
        <v>45875</v>
      </c>
      <c r="J106" s="81"/>
      <c r="K106" s="81"/>
      <c r="L106" s="80" t="s">
        <v>31</v>
      </c>
      <c r="M106" s="80"/>
      <c r="N106" s="118"/>
      <c r="O106" s="118"/>
    </row>
    <row r="107" spans="2:15" hidden="1">
      <c r="B107" s="98">
        <v>94</v>
      </c>
      <c r="C107" s="85" t="s">
        <v>100</v>
      </c>
      <c r="D107" s="80" t="s">
        <v>160</v>
      </c>
      <c r="E107" s="80" t="s">
        <v>233</v>
      </c>
      <c r="F107" s="80"/>
      <c r="G107" s="80" t="s">
        <v>59</v>
      </c>
      <c r="H107" s="84"/>
      <c r="I107" s="84">
        <v>45875</v>
      </c>
      <c r="J107" s="81"/>
      <c r="K107" s="81"/>
      <c r="L107" s="80" t="s">
        <v>31</v>
      </c>
      <c r="M107" s="80"/>
      <c r="N107" s="118"/>
      <c r="O107" s="118"/>
    </row>
    <row r="108" spans="2:15" hidden="1">
      <c r="B108" s="87">
        <v>95</v>
      </c>
      <c r="C108" s="85" t="s">
        <v>100</v>
      </c>
      <c r="D108" s="80" t="s">
        <v>167</v>
      </c>
      <c r="E108" s="80" t="s">
        <v>234</v>
      </c>
      <c r="F108" s="80" t="s">
        <v>235</v>
      </c>
      <c r="G108" s="80" t="s">
        <v>59</v>
      </c>
      <c r="H108" s="84"/>
      <c r="I108" s="81" t="s">
        <v>20</v>
      </c>
      <c r="J108" s="81"/>
      <c r="K108" s="81"/>
      <c r="L108" s="80" t="s">
        <v>31</v>
      </c>
      <c r="M108" s="80"/>
      <c r="N108" s="118"/>
      <c r="O108" s="118"/>
    </row>
    <row r="109" spans="2:15" hidden="1">
      <c r="B109" s="87">
        <v>97</v>
      </c>
      <c r="C109" s="85" t="s">
        <v>100</v>
      </c>
      <c r="D109" s="80" t="s">
        <v>213</v>
      </c>
      <c r="E109" s="80" t="s">
        <v>236</v>
      </c>
      <c r="F109" s="80" t="s">
        <v>237</v>
      </c>
      <c r="G109" s="80" t="s">
        <v>59</v>
      </c>
      <c r="H109" s="84"/>
      <c r="I109" s="81"/>
      <c r="J109" s="81"/>
      <c r="K109" s="81"/>
      <c r="L109" s="80" t="s">
        <v>31</v>
      </c>
      <c r="M109" s="80"/>
      <c r="N109" s="118"/>
      <c r="O109" s="118"/>
    </row>
    <row r="110" spans="2:15" hidden="1">
      <c r="B110" s="87">
        <v>98</v>
      </c>
      <c r="C110" s="85" t="s">
        <v>100</v>
      </c>
      <c r="D110" s="80" t="s">
        <v>213</v>
      </c>
      <c r="E110" s="80" t="s">
        <v>238</v>
      </c>
      <c r="F110" s="80" t="s">
        <v>237</v>
      </c>
      <c r="G110" s="80" t="s">
        <v>59</v>
      </c>
      <c r="H110" s="84"/>
      <c r="I110" s="81"/>
      <c r="J110" s="81"/>
      <c r="K110" s="81"/>
      <c r="L110" s="80" t="s">
        <v>31</v>
      </c>
      <c r="M110" s="80"/>
      <c r="N110" s="118"/>
      <c r="O110" s="118"/>
    </row>
    <row r="111" spans="2:15" ht="55.15" hidden="1">
      <c r="B111" s="87">
        <v>99</v>
      </c>
      <c r="C111" s="85" t="s">
        <v>100</v>
      </c>
      <c r="D111" s="80" t="s">
        <v>160</v>
      </c>
      <c r="E111" s="80" t="s">
        <v>239</v>
      </c>
      <c r="F111" s="89" t="s">
        <v>240</v>
      </c>
      <c r="G111" s="80" t="s">
        <v>241</v>
      </c>
      <c r="H111" s="84"/>
      <c r="I111" s="84" t="s">
        <v>20</v>
      </c>
      <c r="J111" s="81" t="s">
        <v>106</v>
      </c>
      <c r="K111" s="81" t="s">
        <v>107</v>
      </c>
      <c r="L111" s="80" t="s">
        <v>21</v>
      </c>
      <c r="M111" s="80"/>
      <c r="N111" s="118"/>
      <c r="O111" s="118"/>
    </row>
    <row r="112" spans="2:15" ht="69" hidden="1">
      <c r="B112" s="87">
        <v>100</v>
      </c>
      <c r="C112" s="85" t="s">
        <v>100</v>
      </c>
      <c r="D112" s="80" t="s">
        <v>213</v>
      </c>
      <c r="E112" s="80" t="s">
        <v>242</v>
      </c>
      <c r="F112" s="80" t="s">
        <v>240</v>
      </c>
      <c r="G112" s="80" t="s">
        <v>66</v>
      </c>
      <c r="H112" s="84"/>
      <c r="I112" s="84" t="s">
        <v>20</v>
      </c>
      <c r="J112" s="117" t="s">
        <v>243</v>
      </c>
      <c r="K112" s="81" t="s">
        <v>244</v>
      </c>
      <c r="L112" s="80" t="s">
        <v>21</v>
      </c>
      <c r="M112" s="80"/>
      <c r="N112" s="118"/>
      <c r="O112" s="118"/>
    </row>
    <row r="113" spans="2:15" ht="41.45" hidden="1">
      <c r="B113" s="87">
        <v>101</v>
      </c>
      <c r="C113" s="85" t="s">
        <v>100</v>
      </c>
      <c r="D113" s="80" t="s">
        <v>213</v>
      </c>
      <c r="E113" s="80" t="s">
        <v>245</v>
      </c>
      <c r="F113" s="113" t="s">
        <v>99</v>
      </c>
      <c r="G113" s="80" t="s">
        <v>66</v>
      </c>
      <c r="H113" s="84"/>
      <c r="I113" s="84">
        <v>45902</v>
      </c>
      <c r="J113" s="81" t="s">
        <v>246</v>
      </c>
      <c r="K113" s="81" t="s">
        <v>247</v>
      </c>
      <c r="L113" s="80" t="s">
        <v>31</v>
      </c>
      <c r="M113" s="80"/>
      <c r="N113" s="118"/>
      <c r="O113" s="118"/>
    </row>
    <row r="114" spans="2:15" ht="55.15" hidden="1">
      <c r="B114" s="87">
        <v>102</v>
      </c>
      <c r="C114" s="85" t="s">
        <v>100</v>
      </c>
      <c r="D114" s="80" t="s">
        <v>248</v>
      </c>
      <c r="E114" s="80" t="s">
        <v>249</v>
      </c>
      <c r="F114" s="80" t="s">
        <v>250</v>
      </c>
      <c r="G114" s="80" t="s">
        <v>251</v>
      </c>
      <c r="H114" s="84"/>
      <c r="I114" s="84" t="s">
        <v>20</v>
      </c>
      <c r="J114" s="81" t="s">
        <v>252</v>
      </c>
      <c r="K114" s="81" t="s">
        <v>247</v>
      </c>
      <c r="L114" s="80" t="s">
        <v>31</v>
      </c>
      <c r="M114" s="80"/>
      <c r="N114" s="118"/>
      <c r="O114" s="118"/>
    </row>
    <row r="115" spans="2:15" ht="69" hidden="1">
      <c r="B115" s="87">
        <v>103</v>
      </c>
      <c r="C115" s="85" t="s">
        <v>100</v>
      </c>
      <c r="D115" s="85" t="s">
        <v>112</v>
      </c>
      <c r="E115" s="80" t="s">
        <v>253</v>
      </c>
      <c r="F115" s="80" t="s">
        <v>254</v>
      </c>
      <c r="G115" s="80" t="s">
        <v>59</v>
      </c>
      <c r="H115" s="84"/>
      <c r="I115" s="84" t="s">
        <v>20</v>
      </c>
      <c r="J115" s="81" t="s">
        <v>128</v>
      </c>
      <c r="K115" s="81" t="s">
        <v>129</v>
      </c>
      <c r="L115" s="80" t="s">
        <v>31</v>
      </c>
      <c r="M115" s="80"/>
      <c r="N115" s="118"/>
      <c r="O115" s="118"/>
    </row>
    <row r="116" spans="2:15" ht="27.6" hidden="1">
      <c r="B116" s="87">
        <v>104</v>
      </c>
      <c r="C116" s="85" t="s">
        <v>100</v>
      </c>
      <c r="D116" s="80" t="s">
        <v>46</v>
      </c>
      <c r="E116" s="80" t="s">
        <v>255</v>
      </c>
      <c r="F116" s="80" t="s">
        <v>256</v>
      </c>
      <c r="G116" s="80" t="s">
        <v>59</v>
      </c>
      <c r="H116" s="84"/>
      <c r="I116" s="81"/>
      <c r="J116" s="81"/>
      <c r="K116" s="81"/>
      <c r="L116" s="80" t="s">
        <v>31</v>
      </c>
      <c r="M116" s="80"/>
      <c r="N116" s="118"/>
      <c r="O116" s="118"/>
    </row>
    <row r="117" spans="2:15" ht="96.6" hidden="1">
      <c r="B117" s="87">
        <v>105</v>
      </c>
      <c r="C117" s="85" t="s">
        <v>26</v>
      </c>
      <c r="D117" s="80" t="s">
        <v>189</v>
      </c>
      <c r="E117" s="80" t="s">
        <v>257</v>
      </c>
      <c r="F117" s="99" t="s">
        <v>258</v>
      </c>
      <c r="G117" s="80" t="s">
        <v>59</v>
      </c>
      <c r="H117" s="84"/>
      <c r="I117" s="84">
        <v>45908</v>
      </c>
      <c r="J117" s="81" t="s">
        <v>259</v>
      </c>
      <c r="K117" s="81" t="s">
        <v>231</v>
      </c>
      <c r="L117" s="80" t="s">
        <v>31</v>
      </c>
      <c r="M117" s="80"/>
      <c r="N117" s="118"/>
      <c r="O117" s="118"/>
    </row>
    <row r="118" spans="2:15" ht="27.6" hidden="1">
      <c r="B118" s="87">
        <v>106</v>
      </c>
      <c r="C118" s="85" t="s">
        <v>26</v>
      </c>
      <c r="D118" s="80" t="s">
        <v>260</v>
      </c>
      <c r="E118" s="80" t="s">
        <v>261</v>
      </c>
      <c r="F118" s="80" t="s">
        <v>256</v>
      </c>
      <c r="G118" s="80" t="s">
        <v>30</v>
      </c>
      <c r="H118" s="84">
        <v>45887</v>
      </c>
      <c r="I118" s="81"/>
      <c r="J118" s="81"/>
      <c r="K118" s="81"/>
      <c r="L118" s="80" t="s">
        <v>31</v>
      </c>
      <c r="M118" s="80"/>
      <c r="N118" s="118"/>
      <c r="O118" s="118"/>
    </row>
    <row r="119" spans="2:15" ht="69" hidden="1">
      <c r="B119" s="87">
        <v>106</v>
      </c>
      <c r="C119" s="85" t="s">
        <v>26</v>
      </c>
      <c r="D119" s="85" t="s">
        <v>112</v>
      </c>
      <c r="E119" s="80" t="s">
        <v>262</v>
      </c>
      <c r="F119" s="113" t="s">
        <v>263</v>
      </c>
      <c r="G119" s="80" t="s">
        <v>35</v>
      </c>
      <c r="H119" s="84"/>
      <c r="I119" s="91">
        <v>45697</v>
      </c>
      <c r="J119" s="81" t="s">
        <v>128</v>
      </c>
      <c r="K119" s="81" t="s">
        <v>264</v>
      </c>
      <c r="L119" s="80" t="s">
        <v>31</v>
      </c>
      <c r="M119" s="80"/>
      <c r="N119" s="118"/>
      <c r="O119" s="118"/>
    </row>
    <row r="120" spans="2:15" ht="82.9" hidden="1">
      <c r="B120" s="87">
        <v>108</v>
      </c>
      <c r="C120" s="85" t="s">
        <v>26</v>
      </c>
      <c r="D120" s="80" t="s">
        <v>189</v>
      </c>
      <c r="E120" s="80" t="s">
        <v>265</v>
      </c>
      <c r="F120" s="113" t="s">
        <v>266</v>
      </c>
      <c r="G120" s="80" t="s">
        <v>30</v>
      </c>
      <c r="H120" s="84">
        <v>45908</v>
      </c>
      <c r="I120" s="91" t="s">
        <v>20</v>
      </c>
      <c r="J120" s="81" t="s">
        <v>267</v>
      </c>
      <c r="K120" s="141" t="s">
        <v>268</v>
      </c>
      <c r="L120" s="80" t="s">
        <v>21</v>
      </c>
      <c r="M120" s="80"/>
      <c r="N120" s="118"/>
      <c r="O120" s="118"/>
    </row>
    <row r="121" spans="2:15" ht="82.9" hidden="1">
      <c r="B121" s="87">
        <v>109</v>
      </c>
      <c r="C121" s="85" t="s">
        <v>26</v>
      </c>
      <c r="D121" s="80" t="s">
        <v>189</v>
      </c>
      <c r="E121" s="80" t="s">
        <v>269</v>
      </c>
      <c r="F121" s="113" t="s">
        <v>270</v>
      </c>
      <c r="G121" s="80" t="s">
        <v>30</v>
      </c>
      <c r="H121" s="84">
        <v>45909</v>
      </c>
      <c r="I121" s="84">
        <v>45912</v>
      </c>
      <c r="J121" s="81" t="s">
        <v>271</v>
      </c>
      <c r="K121" s="141" t="s">
        <v>268</v>
      </c>
      <c r="L121" s="80" t="s">
        <v>31</v>
      </c>
      <c r="M121" s="80"/>
      <c r="N121" s="118"/>
      <c r="O121" s="118"/>
    </row>
    <row r="122" spans="2:15" ht="110.45" hidden="1">
      <c r="B122" s="87">
        <v>109</v>
      </c>
      <c r="C122" s="85" t="s">
        <v>100</v>
      </c>
      <c r="D122" s="80" t="s">
        <v>272</v>
      </c>
      <c r="E122" s="80" t="s">
        <v>273</v>
      </c>
      <c r="F122" s="80" t="s">
        <v>274</v>
      </c>
      <c r="G122" s="80" t="s">
        <v>59</v>
      </c>
      <c r="H122" s="84">
        <v>45910</v>
      </c>
      <c r="I122" s="84">
        <v>45911</v>
      </c>
      <c r="J122" s="81" t="s">
        <v>275</v>
      </c>
      <c r="K122" s="141" t="s">
        <v>276</v>
      </c>
      <c r="L122" s="80" t="s">
        <v>31</v>
      </c>
      <c r="M122" s="80"/>
      <c r="N122" s="118"/>
      <c r="O122" s="118"/>
    </row>
    <row r="123" spans="2:15" ht="33.75" hidden="1" customHeight="1">
      <c r="B123" s="87">
        <v>110</v>
      </c>
      <c r="C123" s="85" t="s">
        <v>26</v>
      </c>
      <c r="D123" s="80" t="s">
        <v>227</v>
      </c>
      <c r="E123" s="80" t="s">
        <v>277</v>
      </c>
      <c r="F123" s="80" t="s">
        <v>278</v>
      </c>
      <c r="G123" s="80" t="s">
        <v>30</v>
      </c>
      <c r="H123" s="84">
        <v>45897</v>
      </c>
      <c r="I123" s="84">
        <v>45919</v>
      </c>
      <c r="J123" s="81"/>
      <c r="K123" s="81"/>
      <c r="L123" s="80" t="s">
        <v>31</v>
      </c>
      <c r="M123" s="80"/>
      <c r="N123" s="118"/>
      <c r="O123" s="118"/>
    </row>
    <row r="124" spans="2:15" ht="55.15" hidden="1">
      <c r="B124" s="87">
        <v>111</v>
      </c>
      <c r="C124" s="85" t="s">
        <v>100</v>
      </c>
      <c r="D124" s="80" t="s">
        <v>189</v>
      </c>
      <c r="E124" s="80" t="s">
        <v>279</v>
      </c>
      <c r="F124" s="80" t="s">
        <v>280</v>
      </c>
      <c r="G124" s="80" t="s">
        <v>59</v>
      </c>
      <c r="H124" s="84"/>
      <c r="I124" s="84"/>
      <c r="J124" s="81" t="s">
        <v>281</v>
      </c>
      <c r="K124" s="141" t="s">
        <v>282</v>
      </c>
      <c r="L124" s="80" t="s">
        <v>31</v>
      </c>
      <c r="M124" s="80"/>
      <c r="N124" s="118"/>
      <c r="O124" s="118"/>
    </row>
    <row r="125" spans="2:15" ht="69" hidden="1">
      <c r="B125" s="87">
        <v>112</v>
      </c>
      <c r="C125" s="85" t="s">
        <v>26</v>
      </c>
      <c r="D125" s="85" t="s">
        <v>97</v>
      </c>
      <c r="E125" s="85" t="s">
        <v>283</v>
      </c>
      <c r="F125" s="116" t="s">
        <v>284</v>
      </c>
      <c r="G125" s="80" t="s">
        <v>285</v>
      </c>
      <c r="H125" s="84">
        <v>45908</v>
      </c>
      <c r="I125" s="84">
        <v>45962</v>
      </c>
      <c r="J125" s="81" t="s">
        <v>286</v>
      </c>
      <c r="K125" s="141" t="s">
        <v>287</v>
      </c>
      <c r="L125" s="80" t="s">
        <v>31</v>
      </c>
      <c r="M125" s="80"/>
      <c r="N125" s="118"/>
      <c r="O125" s="118"/>
    </row>
    <row r="126" spans="2:15" ht="69" hidden="1">
      <c r="B126" s="87">
        <v>113</v>
      </c>
      <c r="C126" s="80" t="s">
        <v>26</v>
      </c>
      <c r="D126" s="80" t="s">
        <v>112</v>
      </c>
      <c r="E126" s="85" t="s">
        <v>288</v>
      </c>
      <c r="F126" s="80" t="s">
        <v>289</v>
      </c>
      <c r="G126" s="80" t="s">
        <v>35</v>
      </c>
      <c r="H126" s="84"/>
      <c r="I126" s="84" t="s">
        <v>105</v>
      </c>
      <c r="J126" s="81" t="s">
        <v>290</v>
      </c>
      <c r="K126" s="141" t="s">
        <v>291</v>
      </c>
      <c r="L126" s="80" t="s">
        <v>31</v>
      </c>
      <c r="M126" s="80"/>
      <c r="N126" s="118"/>
      <c r="O126" s="118"/>
    </row>
    <row r="127" spans="2:15" ht="75.75" hidden="1" customHeight="1">
      <c r="B127" s="98">
        <v>114</v>
      </c>
      <c r="C127" s="85" t="s">
        <v>100</v>
      </c>
      <c r="D127" s="80" t="s">
        <v>46</v>
      </c>
      <c r="E127" s="85" t="s">
        <v>292</v>
      </c>
      <c r="F127" s="118" t="s">
        <v>293</v>
      </c>
      <c r="G127" s="80" t="s">
        <v>241</v>
      </c>
      <c r="H127" s="84">
        <v>45912</v>
      </c>
      <c r="I127" s="84"/>
      <c r="J127" s="81" t="s">
        <v>294</v>
      </c>
      <c r="K127" s="81"/>
      <c r="L127" s="80" t="s">
        <v>21</v>
      </c>
      <c r="M127" s="80"/>
      <c r="N127" s="118"/>
      <c r="O127" s="118"/>
    </row>
    <row r="128" spans="2:15" ht="86.25" hidden="1" customHeight="1">
      <c r="B128" s="98">
        <v>115</v>
      </c>
      <c r="C128" s="85" t="s">
        <v>100</v>
      </c>
      <c r="D128" s="80" t="s">
        <v>46</v>
      </c>
      <c r="E128" s="85" t="s">
        <v>295</v>
      </c>
      <c r="F128" s="119" t="s">
        <v>296</v>
      </c>
      <c r="G128" s="80" t="s">
        <v>59</v>
      </c>
      <c r="H128" s="84">
        <v>45912</v>
      </c>
      <c r="I128" s="84">
        <v>45936</v>
      </c>
      <c r="J128" s="81"/>
      <c r="K128" s="81"/>
      <c r="L128" s="80" t="s">
        <v>31</v>
      </c>
      <c r="M128" s="80"/>
      <c r="N128" s="118"/>
      <c r="O128" s="118"/>
    </row>
    <row r="129" spans="2:15" ht="41.45" hidden="1">
      <c r="B129" s="98">
        <v>116</v>
      </c>
      <c r="C129" s="85" t="s">
        <v>100</v>
      </c>
      <c r="D129" s="80" t="s">
        <v>46</v>
      </c>
      <c r="E129" s="85" t="s">
        <v>297</v>
      </c>
      <c r="F129" s="119" t="s">
        <v>298</v>
      </c>
      <c r="G129" s="80" t="s">
        <v>30</v>
      </c>
      <c r="H129" s="84">
        <v>45912</v>
      </c>
      <c r="I129" s="84" t="s">
        <v>20</v>
      </c>
      <c r="J129" s="81"/>
      <c r="K129" s="81"/>
      <c r="L129" s="80" t="s">
        <v>31</v>
      </c>
      <c r="M129" s="80"/>
      <c r="N129" s="118"/>
      <c r="O129" s="118"/>
    </row>
    <row r="130" spans="2:15" ht="51" hidden="1" customHeight="1">
      <c r="B130" s="87">
        <v>117</v>
      </c>
      <c r="C130" s="80" t="s">
        <v>299</v>
      </c>
      <c r="D130" s="80" t="s">
        <v>300</v>
      </c>
      <c r="E130" s="80" t="s">
        <v>301</v>
      </c>
      <c r="F130" s="80" t="s">
        <v>302</v>
      </c>
      <c r="G130" s="80" t="s">
        <v>66</v>
      </c>
      <c r="H130" s="84"/>
      <c r="I130" s="84">
        <v>45925</v>
      </c>
      <c r="J130" s="84">
        <v>45925</v>
      </c>
      <c r="K130" s="81"/>
      <c r="L130" s="80" t="s">
        <v>31</v>
      </c>
      <c r="M130" s="80"/>
      <c r="N130" s="118"/>
      <c r="O130" s="118"/>
    </row>
    <row r="131" spans="2:15" ht="55.15" hidden="1">
      <c r="B131" s="87">
        <v>118</v>
      </c>
      <c r="C131" s="85" t="s">
        <v>100</v>
      </c>
      <c r="D131" s="80" t="s">
        <v>46</v>
      </c>
      <c r="E131" s="142" t="s">
        <v>303</v>
      </c>
      <c r="F131" s="80" t="s">
        <v>304</v>
      </c>
      <c r="G131" s="80" t="s">
        <v>59</v>
      </c>
      <c r="H131" s="84">
        <v>45916</v>
      </c>
      <c r="I131" s="143">
        <v>45930</v>
      </c>
      <c r="J131" s="81"/>
      <c r="K131" s="81"/>
      <c r="L131" s="80" t="s">
        <v>31</v>
      </c>
      <c r="M131" s="80"/>
      <c r="N131" s="118"/>
      <c r="O131" s="118"/>
    </row>
    <row r="132" spans="2:15" ht="37.5" hidden="1" customHeight="1">
      <c r="B132" s="87">
        <v>119</v>
      </c>
      <c r="C132" s="80" t="s">
        <v>305</v>
      </c>
      <c r="D132" s="80" t="s">
        <v>97</v>
      </c>
      <c r="E132" s="80" t="s">
        <v>306</v>
      </c>
      <c r="F132" s="80"/>
      <c r="G132" s="80" t="s">
        <v>30</v>
      </c>
      <c r="H132" s="84">
        <v>45916</v>
      </c>
      <c r="I132" s="84">
        <v>45923</v>
      </c>
      <c r="J132" s="81"/>
      <c r="K132" s="81"/>
      <c r="L132" s="80" t="s">
        <v>31</v>
      </c>
      <c r="M132" s="80"/>
      <c r="N132" s="118"/>
      <c r="O132" s="118"/>
    </row>
    <row r="133" spans="2:15" hidden="1">
      <c r="B133" s="87">
        <v>120</v>
      </c>
      <c r="C133" s="85" t="s">
        <v>100</v>
      </c>
      <c r="D133" s="80" t="s">
        <v>112</v>
      </c>
      <c r="E133" s="80" t="s">
        <v>307</v>
      </c>
      <c r="F133" s="80" t="s">
        <v>308</v>
      </c>
      <c r="G133" s="80" t="s">
        <v>59</v>
      </c>
      <c r="H133" s="84">
        <v>45918</v>
      </c>
      <c r="I133" s="84">
        <v>45919</v>
      </c>
      <c r="J133" s="81"/>
      <c r="K133" s="81"/>
      <c r="L133" s="80" t="s">
        <v>31</v>
      </c>
      <c r="M133" s="80"/>
      <c r="N133" s="118"/>
      <c r="O133" s="118"/>
    </row>
    <row r="134" spans="2:15" ht="27.6" hidden="1">
      <c r="B134" s="87">
        <v>121</v>
      </c>
      <c r="C134" s="80" t="s">
        <v>309</v>
      </c>
      <c r="D134" s="80"/>
      <c r="E134" s="80" t="s">
        <v>310</v>
      </c>
      <c r="F134" s="80"/>
      <c r="G134" s="80" t="s">
        <v>311</v>
      </c>
      <c r="H134" s="84"/>
      <c r="I134" s="81"/>
      <c r="J134" s="81"/>
      <c r="K134" s="141"/>
      <c r="L134" s="80" t="s">
        <v>31</v>
      </c>
      <c r="M134" s="80"/>
      <c r="N134" s="118"/>
      <c r="O134" s="118"/>
    </row>
    <row r="135" spans="2:15" ht="25.5" hidden="1" customHeight="1">
      <c r="B135" s="87">
        <v>122</v>
      </c>
      <c r="C135" s="80" t="s">
        <v>305</v>
      </c>
      <c r="D135" s="80" t="s">
        <v>46</v>
      </c>
      <c r="E135" s="80" t="s">
        <v>312</v>
      </c>
      <c r="F135" s="80" t="s">
        <v>313</v>
      </c>
      <c r="G135" s="80"/>
      <c r="H135" s="84">
        <v>45919</v>
      </c>
      <c r="I135" s="81"/>
      <c r="J135" s="81" t="s">
        <v>314</v>
      </c>
      <c r="K135" s="81"/>
      <c r="L135" s="80" t="s">
        <v>21</v>
      </c>
      <c r="M135" s="80"/>
      <c r="N135" s="118"/>
      <c r="O135" s="118"/>
    </row>
    <row r="136" spans="2:15" ht="41.45" hidden="1">
      <c r="B136" s="87">
        <v>123</v>
      </c>
      <c r="C136" s="80"/>
      <c r="D136" s="80"/>
      <c r="E136" s="80" t="s">
        <v>315</v>
      </c>
      <c r="F136" s="80" t="s">
        <v>316</v>
      </c>
      <c r="G136" s="80" t="s">
        <v>317</v>
      </c>
      <c r="H136" s="84"/>
      <c r="I136" s="81"/>
      <c r="J136" s="81"/>
      <c r="K136" s="141" t="s">
        <v>318</v>
      </c>
      <c r="L136" s="80" t="s">
        <v>31</v>
      </c>
      <c r="M136" s="80"/>
      <c r="N136" s="118"/>
      <c r="O136" s="118"/>
    </row>
    <row r="137" spans="2:15" hidden="1">
      <c r="B137" s="87">
        <v>124</v>
      </c>
      <c r="C137" s="80" t="s">
        <v>319</v>
      </c>
      <c r="D137" s="80" t="s">
        <v>46</v>
      </c>
      <c r="E137" s="80" t="s">
        <v>320</v>
      </c>
      <c r="F137" s="80" t="s">
        <v>321</v>
      </c>
      <c r="G137" s="80" t="s">
        <v>59</v>
      </c>
      <c r="H137" s="84"/>
      <c r="I137" s="81" t="s">
        <v>63</v>
      </c>
      <c r="J137" s="81"/>
      <c r="K137" s="81"/>
      <c r="L137" s="80" t="s">
        <v>31</v>
      </c>
      <c r="M137" s="80"/>
      <c r="N137" s="118"/>
      <c r="O137" s="118"/>
    </row>
    <row r="138" spans="2:15" hidden="1">
      <c r="B138" s="87">
        <v>125</v>
      </c>
      <c r="C138" s="80" t="s">
        <v>305</v>
      </c>
      <c r="D138" s="80" t="s">
        <v>46</v>
      </c>
      <c r="E138" s="80" t="s">
        <v>322</v>
      </c>
      <c r="F138" s="80" t="s">
        <v>323</v>
      </c>
      <c r="G138" s="80" t="s">
        <v>59</v>
      </c>
      <c r="H138" s="84"/>
      <c r="I138" s="81"/>
      <c r="J138" s="81"/>
      <c r="K138" s="81"/>
      <c r="L138" s="80" t="s">
        <v>31</v>
      </c>
      <c r="M138" s="80"/>
      <c r="N138" s="118"/>
      <c r="O138" s="118"/>
    </row>
    <row r="139" spans="2:15" ht="33.75" hidden="1" customHeight="1">
      <c r="B139" s="98">
        <v>131</v>
      </c>
      <c r="C139" s="80" t="s">
        <v>305</v>
      </c>
      <c r="D139" s="80" t="s">
        <v>46</v>
      </c>
      <c r="E139" s="80" t="s">
        <v>322</v>
      </c>
      <c r="F139" s="80" t="s">
        <v>324</v>
      </c>
      <c r="G139" s="80" t="s">
        <v>30</v>
      </c>
      <c r="H139" s="84"/>
      <c r="I139" s="81"/>
      <c r="J139" s="81"/>
      <c r="K139" s="141" t="s">
        <v>325</v>
      </c>
      <c r="L139" s="80" t="s">
        <v>31</v>
      </c>
      <c r="M139" s="80"/>
      <c r="N139" s="118"/>
      <c r="O139" s="118"/>
    </row>
    <row r="140" spans="2:15" hidden="1">
      <c r="B140" s="87">
        <v>126</v>
      </c>
      <c r="C140" s="80" t="s">
        <v>305</v>
      </c>
      <c r="D140" s="80" t="s">
        <v>167</v>
      </c>
      <c r="E140" s="80" t="s">
        <v>326</v>
      </c>
      <c r="F140" s="80" t="s">
        <v>327</v>
      </c>
      <c r="G140" s="80"/>
      <c r="H140" s="84"/>
      <c r="I140" s="81"/>
      <c r="J140" s="81"/>
      <c r="K140" s="81"/>
      <c r="L140" s="80" t="s">
        <v>31</v>
      </c>
      <c r="M140" s="80"/>
      <c r="N140" s="118"/>
      <c r="O140" s="118"/>
    </row>
    <row r="141" spans="2:15" ht="27.6" hidden="1">
      <c r="B141" s="98">
        <v>129</v>
      </c>
      <c r="C141" s="80" t="s">
        <v>319</v>
      </c>
      <c r="D141" s="80" t="s">
        <v>328</v>
      </c>
      <c r="E141" s="80" t="s">
        <v>329</v>
      </c>
      <c r="F141" s="80"/>
      <c r="G141" s="80" t="s">
        <v>66</v>
      </c>
      <c r="H141" s="84">
        <v>45930</v>
      </c>
      <c r="I141" s="81"/>
      <c r="J141" s="81"/>
      <c r="K141" s="81"/>
      <c r="L141" s="80" t="s">
        <v>31</v>
      </c>
      <c r="M141" s="80"/>
      <c r="N141" s="118"/>
      <c r="O141" s="118"/>
    </row>
    <row r="142" spans="2:15" ht="30.75" hidden="1" customHeight="1">
      <c r="B142" s="87">
        <v>127</v>
      </c>
      <c r="C142" s="80" t="s">
        <v>319</v>
      </c>
      <c r="D142" s="80" t="s">
        <v>328</v>
      </c>
      <c r="E142" s="80" t="s">
        <v>330</v>
      </c>
      <c r="F142" s="80"/>
      <c r="G142" s="80" t="s">
        <v>74</v>
      </c>
      <c r="H142" s="84"/>
      <c r="I142" s="84">
        <v>45941</v>
      </c>
      <c r="J142" s="81"/>
      <c r="K142" s="81"/>
      <c r="L142" s="80" t="s">
        <v>31</v>
      </c>
      <c r="M142" s="80"/>
      <c r="N142" s="118"/>
      <c r="O142" s="118"/>
    </row>
    <row r="143" spans="2:15" ht="69" hidden="1" customHeight="1">
      <c r="B143" s="98">
        <v>113</v>
      </c>
      <c r="C143" s="80" t="s">
        <v>319</v>
      </c>
      <c r="D143" s="80" t="s">
        <v>97</v>
      </c>
      <c r="E143" s="85" t="s">
        <v>331</v>
      </c>
      <c r="F143" s="80" t="s">
        <v>332</v>
      </c>
      <c r="G143" s="80" t="s">
        <v>333</v>
      </c>
      <c r="H143" s="84"/>
      <c r="I143" s="84">
        <v>45986</v>
      </c>
      <c r="J143" s="81" t="s">
        <v>334</v>
      </c>
      <c r="K143" s="141"/>
      <c r="L143" s="80" t="s">
        <v>31</v>
      </c>
      <c r="M143" s="80"/>
      <c r="N143" s="118"/>
      <c r="O143" s="118"/>
    </row>
    <row r="144" spans="2:15" ht="33" hidden="1" customHeight="1">
      <c r="B144" s="87">
        <v>128</v>
      </c>
      <c r="C144" s="80" t="s">
        <v>335</v>
      </c>
      <c r="D144" s="80" t="s">
        <v>336</v>
      </c>
      <c r="E144" s="80" t="s">
        <v>337</v>
      </c>
      <c r="F144" s="80" t="s">
        <v>338</v>
      </c>
      <c r="G144" s="80" t="s">
        <v>119</v>
      </c>
      <c r="H144" s="84"/>
      <c r="I144" s="81" t="s">
        <v>339</v>
      </c>
      <c r="J144" s="81"/>
      <c r="K144" s="141" t="s">
        <v>340</v>
      </c>
      <c r="L144" s="80" t="s">
        <v>31</v>
      </c>
      <c r="M144" s="80"/>
      <c r="N144" s="118"/>
      <c r="O144" s="118"/>
    </row>
    <row r="145" spans="2:15" ht="46.5" hidden="1" customHeight="1">
      <c r="B145" s="87">
        <v>129</v>
      </c>
      <c r="C145" s="80" t="s">
        <v>335</v>
      </c>
      <c r="D145" s="80" t="s">
        <v>46</v>
      </c>
      <c r="E145" s="80" t="s">
        <v>341</v>
      </c>
      <c r="F145" s="80" t="s">
        <v>342</v>
      </c>
      <c r="G145" s="80" t="s">
        <v>59</v>
      </c>
      <c r="H145" s="84">
        <v>45936</v>
      </c>
      <c r="I145" s="81" t="s">
        <v>63</v>
      </c>
      <c r="J145" s="81"/>
      <c r="K145" s="141" t="s">
        <v>282</v>
      </c>
      <c r="L145" s="80" t="s">
        <v>31</v>
      </c>
      <c r="M145" s="80"/>
      <c r="N145" s="118"/>
      <c r="O145" s="118"/>
    </row>
    <row r="146" spans="2:15" ht="29.25" hidden="1" customHeight="1">
      <c r="B146" s="87">
        <v>130</v>
      </c>
      <c r="C146" s="80" t="s">
        <v>343</v>
      </c>
      <c r="D146" s="80" t="s">
        <v>343</v>
      </c>
      <c r="E146" s="80" t="s">
        <v>344</v>
      </c>
      <c r="F146" s="80" t="s">
        <v>345</v>
      </c>
      <c r="G146" s="80" t="s">
        <v>346</v>
      </c>
      <c r="H146" s="84"/>
      <c r="I146" s="81"/>
      <c r="J146" s="81"/>
      <c r="K146" s="81"/>
      <c r="L146" s="80" t="s">
        <v>31</v>
      </c>
      <c r="M146" s="80"/>
      <c r="N146" s="118"/>
      <c r="O146" s="118"/>
    </row>
    <row r="147" spans="2:15" ht="27.6" hidden="1">
      <c r="B147" s="87">
        <v>131</v>
      </c>
      <c r="C147" s="80" t="s">
        <v>335</v>
      </c>
      <c r="D147" s="80" t="s">
        <v>347</v>
      </c>
      <c r="E147" s="80" t="s">
        <v>348</v>
      </c>
      <c r="F147" s="80" t="s">
        <v>349</v>
      </c>
      <c r="G147" s="80" t="s">
        <v>35</v>
      </c>
      <c r="H147" s="84"/>
      <c r="I147" s="81"/>
      <c r="J147" s="81"/>
      <c r="K147" s="81" t="s">
        <v>138</v>
      </c>
      <c r="L147" s="80" t="s">
        <v>31</v>
      </c>
      <c r="M147" s="80"/>
      <c r="N147" s="118"/>
      <c r="O147" s="118"/>
    </row>
    <row r="148" spans="2:15" ht="27.6" hidden="1">
      <c r="B148" s="87">
        <v>132</v>
      </c>
      <c r="C148" s="80" t="s">
        <v>335</v>
      </c>
      <c r="D148" s="80" t="s">
        <v>350</v>
      </c>
      <c r="E148" s="80" t="s">
        <v>351</v>
      </c>
      <c r="F148" s="80" t="s">
        <v>352</v>
      </c>
      <c r="G148" s="80" t="s">
        <v>346</v>
      </c>
      <c r="H148" s="84"/>
      <c r="I148" s="81"/>
      <c r="J148" s="81"/>
      <c r="K148" s="81"/>
      <c r="L148" s="80" t="s">
        <v>21</v>
      </c>
      <c r="M148" s="80"/>
      <c r="N148" s="118"/>
      <c r="O148" s="118"/>
    </row>
    <row r="149" spans="2:15" ht="41.45" hidden="1">
      <c r="B149" s="87">
        <v>132</v>
      </c>
      <c r="C149" s="80" t="s">
        <v>343</v>
      </c>
      <c r="D149" s="80"/>
      <c r="E149" s="80" t="s">
        <v>353</v>
      </c>
      <c r="F149" s="115" t="s">
        <v>354</v>
      </c>
      <c r="G149" s="80" t="s">
        <v>346</v>
      </c>
      <c r="H149" s="84">
        <v>45951</v>
      </c>
      <c r="I149" s="81"/>
      <c r="J149" s="81"/>
      <c r="K149" s="81"/>
      <c r="L149" s="80" t="s">
        <v>31</v>
      </c>
      <c r="M149" s="80"/>
      <c r="N149" s="118"/>
      <c r="O149" s="118"/>
    </row>
    <row r="150" spans="2:15" ht="96.6" hidden="1">
      <c r="B150" s="98">
        <v>133</v>
      </c>
      <c r="C150" s="80" t="s">
        <v>335</v>
      </c>
      <c r="D150" s="80" t="s">
        <v>336</v>
      </c>
      <c r="E150" s="80" t="s">
        <v>337</v>
      </c>
      <c r="F150" s="142" t="s">
        <v>355</v>
      </c>
      <c r="G150" s="80" t="s">
        <v>356</v>
      </c>
      <c r="H150" s="84"/>
      <c r="I150" s="84">
        <v>45986</v>
      </c>
      <c r="J150" s="81" t="s">
        <v>357</v>
      </c>
      <c r="K150" s="141"/>
      <c r="L150" s="80" t="s">
        <v>31</v>
      </c>
      <c r="M150" s="80" t="s">
        <v>358</v>
      </c>
      <c r="N150" s="118"/>
      <c r="O150" s="118"/>
    </row>
    <row r="151" spans="2:15" ht="27.6" hidden="1">
      <c r="B151" s="87">
        <v>129</v>
      </c>
      <c r="C151" s="80" t="s">
        <v>335</v>
      </c>
      <c r="D151" s="80" t="s">
        <v>112</v>
      </c>
      <c r="E151" s="80" t="s">
        <v>359</v>
      </c>
      <c r="F151" s="80" t="s">
        <v>360</v>
      </c>
      <c r="G151" s="80" t="s">
        <v>59</v>
      </c>
      <c r="H151" s="84">
        <v>45953</v>
      </c>
      <c r="I151" s="81"/>
      <c r="J151" s="81"/>
      <c r="K151" s="81"/>
      <c r="L151" s="80" t="s">
        <v>31</v>
      </c>
      <c r="M151" s="80"/>
      <c r="N151" s="118"/>
      <c r="O151" s="118"/>
    </row>
    <row r="152" spans="2:15" ht="27.6" hidden="1">
      <c r="B152" s="87">
        <v>130</v>
      </c>
      <c r="C152" s="80" t="s">
        <v>335</v>
      </c>
      <c r="D152" s="80" t="s">
        <v>46</v>
      </c>
      <c r="E152" s="80" t="s">
        <v>361</v>
      </c>
      <c r="F152" s="80" t="s">
        <v>362</v>
      </c>
      <c r="G152" s="80" t="s">
        <v>363</v>
      </c>
      <c r="H152" s="84"/>
      <c r="I152" s="81"/>
      <c r="J152" s="81"/>
      <c r="K152" s="81"/>
      <c r="L152" s="80" t="s">
        <v>31</v>
      </c>
      <c r="M152" s="80"/>
      <c r="N152" s="118"/>
      <c r="O152" s="118"/>
    </row>
    <row r="153" spans="2:15" ht="27.6" hidden="1">
      <c r="B153" s="87">
        <v>131</v>
      </c>
      <c r="C153" s="80" t="s">
        <v>319</v>
      </c>
      <c r="D153" s="80" t="s">
        <v>319</v>
      </c>
      <c r="E153" s="80" t="s">
        <v>364</v>
      </c>
      <c r="F153" s="80" t="s">
        <v>365</v>
      </c>
      <c r="G153" s="80" t="s">
        <v>346</v>
      </c>
      <c r="H153" s="84"/>
      <c r="I153" s="81"/>
      <c r="J153" s="81"/>
      <c r="K153" s="81"/>
      <c r="L153" s="80" t="s">
        <v>31</v>
      </c>
      <c r="M153" s="80"/>
      <c r="N153" s="118"/>
      <c r="O153" s="118"/>
    </row>
    <row r="154" spans="2:15" ht="27.6" hidden="1">
      <c r="B154" s="87">
        <v>132</v>
      </c>
      <c r="C154" s="80" t="s">
        <v>335</v>
      </c>
      <c r="D154" s="80" t="s">
        <v>97</v>
      </c>
      <c r="E154" s="80" t="s">
        <v>366</v>
      </c>
      <c r="F154" s="80" t="s">
        <v>367</v>
      </c>
      <c r="G154" s="80"/>
      <c r="H154" s="84"/>
      <c r="I154" s="81"/>
      <c r="J154" s="81"/>
      <c r="K154" s="81"/>
      <c r="L154" s="80" t="s">
        <v>31</v>
      </c>
      <c r="M154" s="80"/>
      <c r="N154" s="118"/>
      <c r="O154" s="118"/>
    </row>
    <row r="155" spans="2:15" ht="27.6" hidden="1">
      <c r="B155" s="98">
        <v>132</v>
      </c>
      <c r="C155" s="80" t="s">
        <v>335</v>
      </c>
      <c r="D155" s="80" t="s">
        <v>97</v>
      </c>
      <c r="E155" s="80" t="s">
        <v>368</v>
      </c>
      <c r="F155" s="80" t="s">
        <v>369</v>
      </c>
      <c r="G155" s="80" t="s">
        <v>30</v>
      </c>
      <c r="H155" s="84"/>
      <c r="I155" s="84">
        <v>45974</v>
      </c>
      <c r="J155" s="81"/>
      <c r="K155" s="81"/>
      <c r="L155" s="80" t="s">
        <v>31</v>
      </c>
      <c r="M155" s="80"/>
      <c r="N155" s="118"/>
      <c r="O155" s="118"/>
    </row>
    <row r="156" spans="2:15" ht="69" hidden="1">
      <c r="B156" s="98">
        <v>132</v>
      </c>
      <c r="C156" s="80" t="s">
        <v>335</v>
      </c>
      <c r="D156" s="80" t="s">
        <v>370</v>
      </c>
      <c r="E156" s="80" t="s">
        <v>371</v>
      </c>
      <c r="F156" s="150" t="s">
        <v>372</v>
      </c>
      <c r="G156" s="80" t="s">
        <v>59</v>
      </c>
      <c r="H156" s="84"/>
      <c r="I156" s="84">
        <v>45993</v>
      </c>
      <c r="J156" s="81" t="s">
        <v>373</v>
      </c>
      <c r="K156" s="81"/>
      <c r="L156" s="80" t="s">
        <v>31</v>
      </c>
      <c r="M156" s="80"/>
      <c r="N156" s="118"/>
      <c r="O156" s="118"/>
    </row>
    <row r="157" spans="2:15" ht="27.6" hidden="1">
      <c r="B157" s="87">
        <v>133</v>
      </c>
      <c r="C157" s="80" t="s">
        <v>335</v>
      </c>
      <c r="D157" s="80" t="s">
        <v>46</v>
      </c>
      <c r="E157" s="80" t="s">
        <v>374</v>
      </c>
      <c r="F157" s="80"/>
      <c r="G157" s="80" t="s">
        <v>363</v>
      </c>
      <c r="H157" s="84">
        <v>45974</v>
      </c>
      <c r="I157" s="84">
        <v>45978</v>
      </c>
      <c r="J157" s="81"/>
      <c r="K157" s="81"/>
      <c r="L157" s="80" t="s">
        <v>31</v>
      </c>
      <c r="M157" s="80"/>
      <c r="N157" s="118"/>
      <c r="O157" s="118"/>
    </row>
    <row r="158" spans="2:15" hidden="1">
      <c r="B158" s="87">
        <v>134</v>
      </c>
      <c r="C158" s="80" t="s">
        <v>319</v>
      </c>
      <c r="D158" s="80"/>
      <c r="E158" s="80" t="s">
        <v>375</v>
      </c>
      <c r="F158" s="80"/>
      <c r="G158" s="80" t="s">
        <v>363</v>
      </c>
      <c r="H158" s="84"/>
      <c r="I158" s="81"/>
      <c r="J158" s="81"/>
      <c r="K158" s="81"/>
      <c r="L158" s="80" t="s">
        <v>31</v>
      </c>
      <c r="M158" s="80"/>
      <c r="N158" s="118"/>
      <c r="O158" s="118"/>
    </row>
    <row r="159" spans="2:15" ht="27.6" hidden="1">
      <c r="B159" s="87">
        <v>135</v>
      </c>
      <c r="C159" s="80" t="s">
        <v>255</v>
      </c>
      <c r="D159" s="80" t="s">
        <v>46</v>
      </c>
      <c r="E159" s="80" t="s">
        <v>376</v>
      </c>
      <c r="F159" s="80"/>
      <c r="G159" s="80" t="s">
        <v>59</v>
      </c>
      <c r="H159" s="84"/>
      <c r="I159" s="81"/>
      <c r="J159" s="81"/>
      <c r="K159" s="81"/>
      <c r="L159" s="80" t="s">
        <v>31</v>
      </c>
      <c r="M159" s="80"/>
      <c r="N159" s="118"/>
      <c r="O159" s="118"/>
    </row>
    <row r="160" spans="2:15" ht="69" hidden="1">
      <c r="B160" s="149">
        <v>132</v>
      </c>
      <c r="C160" s="80" t="s">
        <v>335</v>
      </c>
      <c r="D160" s="80" t="s">
        <v>370</v>
      </c>
      <c r="E160" s="80" t="s">
        <v>371</v>
      </c>
      <c r="F160" s="80" t="s">
        <v>377</v>
      </c>
      <c r="G160" s="80" t="s">
        <v>35</v>
      </c>
      <c r="H160" s="84"/>
      <c r="I160" s="91">
        <v>46009</v>
      </c>
      <c r="J160" s="81"/>
      <c r="K160" s="90"/>
      <c r="L160" s="80" t="s">
        <v>31</v>
      </c>
      <c r="M160" s="80"/>
      <c r="N160" s="118"/>
      <c r="O160" s="118"/>
    </row>
    <row r="161" spans="2:15" hidden="1">
      <c r="B161" s="87">
        <v>136</v>
      </c>
      <c r="C161" s="85" t="s">
        <v>335</v>
      </c>
      <c r="D161" s="85" t="s">
        <v>370</v>
      </c>
      <c r="E161" s="80" t="s">
        <v>378</v>
      </c>
      <c r="F161" s="80" t="s">
        <v>258</v>
      </c>
      <c r="G161" s="80" t="s">
        <v>379</v>
      </c>
      <c r="H161" s="84">
        <v>45979</v>
      </c>
      <c r="I161" s="84">
        <v>46001</v>
      </c>
      <c r="J161" s="81"/>
      <c r="K161" s="141"/>
      <c r="L161" s="80" t="s">
        <v>21</v>
      </c>
      <c r="M161" s="80"/>
      <c r="N161" s="118"/>
      <c r="O161" s="118"/>
    </row>
    <row r="162" spans="2:15" ht="96.6" hidden="1">
      <c r="B162" s="87">
        <v>137</v>
      </c>
      <c r="C162" s="80" t="s">
        <v>335</v>
      </c>
      <c r="D162" s="80" t="s">
        <v>380</v>
      </c>
      <c r="E162" s="80" t="s">
        <v>381</v>
      </c>
      <c r="F162" s="80" t="s">
        <v>382</v>
      </c>
      <c r="G162" s="80" t="s">
        <v>166</v>
      </c>
      <c r="H162" s="84">
        <v>45978</v>
      </c>
      <c r="I162" s="84">
        <v>45980</v>
      </c>
      <c r="J162" s="81" t="s">
        <v>383</v>
      </c>
      <c r="K162" s="81"/>
      <c r="L162" s="80" t="s">
        <v>31</v>
      </c>
      <c r="M162" s="80"/>
      <c r="N162" s="118"/>
      <c r="O162" s="118"/>
    </row>
    <row r="163" spans="2:15" ht="69" hidden="1">
      <c r="B163" s="87">
        <v>138</v>
      </c>
      <c r="C163" s="80" t="s">
        <v>319</v>
      </c>
      <c r="D163" s="80" t="s">
        <v>384</v>
      </c>
      <c r="E163" s="80" t="s">
        <v>385</v>
      </c>
      <c r="F163" s="148" t="s">
        <v>386</v>
      </c>
      <c r="G163" s="80" t="s">
        <v>387</v>
      </c>
      <c r="H163" s="84">
        <v>45973</v>
      </c>
      <c r="I163" s="84">
        <v>45989</v>
      </c>
      <c r="J163" s="81"/>
      <c r="K163" s="81"/>
      <c r="L163" s="80" t="s">
        <v>31</v>
      </c>
      <c r="M163" s="80"/>
      <c r="N163" s="118" t="s">
        <v>346</v>
      </c>
      <c r="O163" s="118"/>
    </row>
    <row r="164" spans="2:15" ht="129.75" hidden="1">
      <c r="B164" s="87">
        <v>139</v>
      </c>
      <c r="C164" s="80" t="s">
        <v>319</v>
      </c>
      <c r="D164" s="80" t="s">
        <v>328</v>
      </c>
      <c r="E164" s="80" t="s">
        <v>388</v>
      </c>
      <c r="F164" s="80" t="s">
        <v>389</v>
      </c>
      <c r="G164" s="80" t="s">
        <v>74</v>
      </c>
      <c r="H164" s="84">
        <v>45987</v>
      </c>
      <c r="I164" s="84">
        <v>46003</v>
      </c>
      <c r="J164" s="81" t="s">
        <v>390</v>
      </c>
      <c r="K164" s="81"/>
      <c r="L164" s="80" t="s">
        <v>21</v>
      </c>
      <c r="M164" s="80"/>
      <c r="N164" s="118"/>
      <c r="O164" s="118"/>
    </row>
    <row r="165" spans="2:15" ht="55.15" hidden="1">
      <c r="B165" s="87">
        <v>140</v>
      </c>
      <c r="C165" s="80" t="s">
        <v>319</v>
      </c>
      <c r="D165" s="80" t="s">
        <v>391</v>
      </c>
      <c r="E165" s="80" t="s">
        <v>392</v>
      </c>
      <c r="F165" s="80" t="s">
        <v>393</v>
      </c>
      <c r="G165" s="80" t="s">
        <v>387</v>
      </c>
      <c r="H165" s="84">
        <v>45986</v>
      </c>
      <c r="I165" s="81"/>
      <c r="J165" s="81" t="s">
        <v>394</v>
      </c>
      <c r="K165" s="81"/>
      <c r="L165" s="80" t="s">
        <v>31</v>
      </c>
      <c r="M165" s="80"/>
      <c r="N165" s="118"/>
      <c r="O165" s="118"/>
    </row>
    <row r="166" spans="2:15" ht="41.45" hidden="1">
      <c r="B166" s="87">
        <v>141</v>
      </c>
      <c r="C166" s="80" t="s">
        <v>335</v>
      </c>
      <c r="D166" s="80" t="s">
        <v>380</v>
      </c>
      <c r="E166" s="80" t="s">
        <v>395</v>
      </c>
      <c r="F166" s="80" t="s">
        <v>396</v>
      </c>
      <c r="G166" s="80" t="s">
        <v>166</v>
      </c>
      <c r="H166" s="84">
        <v>45981</v>
      </c>
      <c r="I166" s="84">
        <v>45989</v>
      </c>
      <c r="J166" s="81" t="s">
        <v>397</v>
      </c>
      <c r="K166" s="81"/>
      <c r="L166" s="80" t="s">
        <v>31</v>
      </c>
      <c r="M166" s="80"/>
      <c r="N166" s="118"/>
      <c r="O166" s="118"/>
    </row>
    <row r="167" spans="2:15" hidden="1">
      <c r="B167" s="87">
        <v>142</v>
      </c>
      <c r="C167" s="80" t="s">
        <v>335</v>
      </c>
      <c r="D167" s="85" t="s">
        <v>112</v>
      </c>
      <c r="E167" s="80" t="s">
        <v>398</v>
      </c>
      <c r="F167" s="80" t="s">
        <v>133</v>
      </c>
      <c r="G167" s="80" t="s">
        <v>35</v>
      </c>
      <c r="H167" s="84">
        <v>45986</v>
      </c>
      <c r="I167" s="84">
        <v>45988</v>
      </c>
      <c r="J167" s="81"/>
      <c r="K167" s="81"/>
      <c r="L167" s="80" t="s">
        <v>31</v>
      </c>
      <c r="M167" s="80"/>
      <c r="N167" s="118"/>
      <c r="O167" s="118"/>
    </row>
    <row r="168" spans="2:15" hidden="1">
      <c r="B168" s="87">
        <v>143</v>
      </c>
      <c r="C168" s="80" t="s">
        <v>335</v>
      </c>
      <c r="D168" s="80" t="s">
        <v>46</v>
      </c>
      <c r="E168" s="80" t="s">
        <v>399</v>
      </c>
      <c r="F168" s="80" t="s">
        <v>400</v>
      </c>
      <c r="G168" s="80" t="s">
        <v>30</v>
      </c>
      <c r="H168" s="84"/>
      <c r="I168" s="84">
        <v>45999</v>
      </c>
      <c r="J168" s="81"/>
      <c r="K168" s="81"/>
      <c r="L168" s="80" t="s">
        <v>31</v>
      </c>
      <c r="M168" s="80" t="s">
        <v>401</v>
      </c>
      <c r="N168" s="118"/>
      <c r="O168" s="118"/>
    </row>
    <row r="169" spans="2:15" hidden="1">
      <c r="B169" s="87">
        <v>153</v>
      </c>
      <c r="C169" s="80" t="s">
        <v>335</v>
      </c>
      <c r="D169" s="80" t="s">
        <v>370</v>
      </c>
      <c r="E169" s="80" t="s">
        <v>371</v>
      </c>
      <c r="F169" s="80" t="s">
        <v>402</v>
      </c>
      <c r="G169" s="80" t="s">
        <v>59</v>
      </c>
      <c r="H169" s="84">
        <v>46009</v>
      </c>
      <c r="I169" s="81"/>
      <c r="J169" s="81"/>
      <c r="K169" s="81"/>
      <c r="L169" s="164" t="s">
        <v>31</v>
      </c>
      <c r="M169" s="80"/>
      <c r="N169" s="118"/>
      <c r="O169" s="118"/>
    </row>
    <row r="170" spans="2:15" hidden="1">
      <c r="B170" s="87">
        <v>153</v>
      </c>
      <c r="C170" s="80" t="s">
        <v>335</v>
      </c>
      <c r="D170" s="80" t="s">
        <v>370</v>
      </c>
      <c r="E170" s="80" t="s">
        <v>371</v>
      </c>
      <c r="F170" s="80" t="s">
        <v>403</v>
      </c>
      <c r="G170" s="80" t="s">
        <v>35</v>
      </c>
      <c r="H170" s="84">
        <v>45672</v>
      </c>
      <c r="I170" s="84">
        <v>45686</v>
      </c>
      <c r="J170" s="81"/>
      <c r="K170" s="81"/>
      <c r="L170" s="164" t="s">
        <v>31</v>
      </c>
      <c r="M170" s="80"/>
      <c r="N170" s="118"/>
      <c r="O170" s="118"/>
    </row>
    <row r="171" spans="2:15" ht="27.6" hidden="1">
      <c r="B171" s="98">
        <v>163</v>
      </c>
      <c r="C171" s="80" t="s">
        <v>335</v>
      </c>
      <c r="D171" s="80" t="s">
        <v>370</v>
      </c>
      <c r="E171" s="80" t="s">
        <v>371</v>
      </c>
      <c r="F171" s="80" t="s">
        <v>404</v>
      </c>
      <c r="G171" s="151" t="s">
        <v>35</v>
      </c>
      <c r="H171" s="183">
        <v>46057</v>
      </c>
      <c r="I171" s="84">
        <v>46062</v>
      </c>
      <c r="J171" s="81"/>
      <c r="K171" s="141"/>
      <c r="L171" s="80" t="s">
        <v>31</v>
      </c>
      <c r="M171" s="80"/>
      <c r="N171" s="118"/>
      <c r="O171" s="118"/>
    </row>
    <row r="172" spans="2:15" ht="27.6" hidden="1">
      <c r="B172" s="87">
        <v>144</v>
      </c>
      <c r="C172" s="80" t="s">
        <v>335</v>
      </c>
      <c r="D172" s="80" t="s">
        <v>46</v>
      </c>
      <c r="E172" s="80" t="s">
        <v>405</v>
      </c>
      <c r="F172" s="80" t="s">
        <v>406</v>
      </c>
      <c r="G172" s="80" t="s">
        <v>59</v>
      </c>
      <c r="H172" s="84"/>
      <c r="I172" s="84">
        <v>46038</v>
      </c>
      <c r="J172" s="81"/>
      <c r="K172" s="81"/>
      <c r="L172" s="80" t="s">
        <v>31</v>
      </c>
      <c r="M172" s="80" t="s">
        <v>407</v>
      </c>
      <c r="N172" s="118"/>
      <c r="O172" s="118"/>
    </row>
    <row r="173" spans="2:15" hidden="1">
      <c r="B173" s="98"/>
      <c r="C173" s="80" t="s">
        <v>335</v>
      </c>
      <c r="D173" s="80" t="s">
        <v>46</v>
      </c>
      <c r="E173" s="80" t="s">
        <v>405</v>
      </c>
      <c r="F173" s="80" t="s">
        <v>408</v>
      </c>
      <c r="G173" s="80" t="s">
        <v>30</v>
      </c>
      <c r="H173" s="84"/>
      <c r="I173" s="84">
        <v>46036</v>
      </c>
      <c r="J173" s="81"/>
      <c r="K173" s="81"/>
      <c r="L173" s="80" t="s">
        <v>31</v>
      </c>
      <c r="M173" s="80"/>
      <c r="N173" s="118"/>
      <c r="O173" s="118"/>
    </row>
    <row r="174" spans="2:15" ht="41.45" hidden="1">
      <c r="B174" s="87">
        <v>143</v>
      </c>
      <c r="C174" s="80" t="s">
        <v>335</v>
      </c>
      <c r="D174" s="80" t="s">
        <v>380</v>
      </c>
      <c r="E174" s="80" t="s">
        <v>409</v>
      </c>
      <c r="F174" s="148" t="s">
        <v>410</v>
      </c>
      <c r="G174" s="80" t="s">
        <v>411</v>
      </c>
      <c r="H174" s="84"/>
      <c r="I174" s="84">
        <v>46058</v>
      </c>
      <c r="J174" s="81"/>
      <c r="K174" s="81"/>
      <c r="L174" s="80" t="s">
        <v>31</v>
      </c>
      <c r="M174" s="80" t="s">
        <v>412</v>
      </c>
      <c r="N174" s="118"/>
      <c r="O174" s="118"/>
    </row>
    <row r="175" spans="2:15" ht="27.6" hidden="1">
      <c r="B175" s="87">
        <v>144</v>
      </c>
      <c r="C175" s="80" t="s">
        <v>335</v>
      </c>
      <c r="D175" s="80" t="s">
        <v>380</v>
      </c>
      <c r="E175" s="80" t="s">
        <v>413</v>
      </c>
      <c r="F175" s="80" t="s">
        <v>414</v>
      </c>
      <c r="G175" s="80" t="s">
        <v>379</v>
      </c>
      <c r="H175" s="84">
        <v>45988</v>
      </c>
      <c r="I175" s="84">
        <v>45999</v>
      </c>
      <c r="J175" s="81"/>
      <c r="K175" s="81"/>
      <c r="L175" s="80" t="s">
        <v>31</v>
      </c>
      <c r="M175" s="80" t="s">
        <v>415</v>
      </c>
      <c r="N175" s="118"/>
      <c r="O175" s="118"/>
    </row>
    <row r="176" spans="2:15" ht="69" hidden="1">
      <c r="B176" s="87">
        <v>144</v>
      </c>
      <c r="C176" s="80" t="s">
        <v>255</v>
      </c>
      <c r="D176" s="80" t="s">
        <v>46</v>
      </c>
      <c r="E176" s="80" t="s">
        <v>416</v>
      </c>
      <c r="F176" s="80" t="s">
        <v>417</v>
      </c>
      <c r="G176" s="80" t="s">
        <v>418</v>
      </c>
      <c r="H176" s="84">
        <v>45995</v>
      </c>
      <c r="I176" s="84">
        <v>45996</v>
      </c>
      <c r="J176" s="81"/>
      <c r="K176" s="81"/>
      <c r="L176" s="80" t="s">
        <v>31</v>
      </c>
      <c r="M176" s="80" t="s">
        <v>419</v>
      </c>
      <c r="N176" s="118"/>
      <c r="O176" s="118"/>
    </row>
    <row r="177" spans="2:15" ht="55.15" hidden="1">
      <c r="B177" s="87">
        <v>145</v>
      </c>
      <c r="C177" s="80" t="s">
        <v>335</v>
      </c>
      <c r="D177" s="80" t="s">
        <v>420</v>
      </c>
      <c r="E177" s="80" t="s">
        <v>421</v>
      </c>
      <c r="F177" s="80" t="s">
        <v>422</v>
      </c>
      <c r="G177" s="80" t="s">
        <v>423</v>
      </c>
      <c r="H177" s="91">
        <v>45995</v>
      </c>
      <c r="I177" s="81"/>
      <c r="J177" s="81" t="s">
        <v>424</v>
      </c>
      <c r="K177" s="141"/>
      <c r="L177" s="80" t="s">
        <v>31</v>
      </c>
      <c r="M177" s="80"/>
      <c r="N177" s="118"/>
      <c r="O177" s="118"/>
    </row>
    <row r="178" spans="2:15" ht="27.6" hidden="1">
      <c r="B178" s="87">
        <v>146</v>
      </c>
      <c r="C178" s="80" t="s">
        <v>319</v>
      </c>
      <c r="D178" s="80" t="s">
        <v>46</v>
      </c>
      <c r="E178" s="80" t="s">
        <v>425</v>
      </c>
      <c r="F178" s="80" t="s">
        <v>426</v>
      </c>
      <c r="G178" s="80" t="s">
        <v>427</v>
      </c>
      <c r="H178" s="84"/>
      <c r="I178" s="81"/>
      <c r="J178" s="81"/>
      <c r="K178" s="81"/>
      <c r="L178" s="80" t="s">
        <v>31</v>
      </c>
      <c r="M178" s="80"/>
      <c r="N178" s="118"/>
      <c r="O178" s="118"/>
    </row>
    <row r="179" spans="2:15" hidden="1">
      <c r="B179" s="87">
        <v>144</v>
      </c>
      <c r="C179" s="80" t="s">
        <v>335</v>
      </c>
      <c r="D179" s="80" t="s">
        <v>380</v>
      </c>
      <c r="E179" s="80" t="s">
        <v>413</v>
      </c>
      <c r="F179" s="150" t="s">
        <v>428</v>
      </c>
      <c r="G179" s="80" t="s">
        <v>74</v>
      </c>
      <c r="H179" s="84"/>
      <c r="I179" s="84">
        <v>46052</v>
      </c>
      <c r="J179" s="81"/>
      <c r="K179" s="81"/>
      <c r="L179" s="80" t="s">
        <v>31</v>
      </c>
      <c r="M179" s="80"/>
      <c r="N179" s="118"/>
      <c r="O179" s="118"/>
    </row>
    <row r="180" spans="2:15" ht="27.6" hidden="1">
      <c r="B180" s="98">
        <v>164</v>
      </c>
      <c r="C180" s="80" t="s">
        <v>335</v>
      </c>
      <c r="D180" s="80" t="s">
        <v>380</v>
      </c>
      <c r="E180" s="80" t="s">
        <v>409</v>
      </c>
      <c r="F180" s="150" t="s">
        <v>429</v>
      </c>
      <c r="G180" s="80" t="s">
        <v>35</v>
      </c>
      <c r="H180" s="183">
        <v>46056</v>
      </c>
      <c r="I180" s="84">
        <v>46064</v>
      </c>
      <c r="J180" s="81"/>
      <c r="K180" s="141"/>
      <c r="L180" s="85" t="s">
        <v>31</v>
      </c>
      <c r="M180" s="80"/>
      <c r="N180" s="118"/>
      <c r="O180" s="118"/>
    </row>
    <row r="181" spans="2:15" ht="41.45" hidden="1">
      <c r="B181" s="98">
        <v>164</v>
      </c>
      <c r="C181" s="80" t="s">
        <v>335</v>
      </c>
      <c r="D181" s="80" t="s">
        <v>380</v>
      </c>
      <c r="E181" s="80" t="s">
        <v>430</v>
      </c>
      <c r="F181" s="150" t="s">
        <v>431</v>
      </c>
      <c r="G181" s="80" t="s">
        <v>74</v>
      </c>
      <c r="H181" s="183">
        <v>46065</v>
      </c>
      <c r="I181" s="84" t="s">
        <v>432</v>
      </c>
      <c r="J181" s="81">
        <v>1</v>
      </c>
      <c r="K181" s="81" t="s">
        <v>433</v>
      </c>
      <c r="L181" s="85" t="s">
        <v>31</v>
      </c>
      <c r="M181" s="80"/>
      <c r="N181" s="118"/>
      <c r="O181" s="118"/>
    </row>
    <row r="182" spans="2:15" ht="82.9" hidden="1">
      <c r="B182" s="149">
        <v>164</v>
      </c>
      <c r="C182" s="80" t="s">
        <v>335</v>
      </c>
      <c r="D182" s="80" t="s">
        <v>380</v>
      </c>
      <c r="E182" s="80" t="s">
        <v>430</v>
      </c>
      <c r="F182" s="150" t="s">
        <v>434</v>
      </c>
      <c r="G182" s="80" t="s">
        <v>435</v>
      </c>
      <c r="H182" s="183">
        <v>46065</v>
      </c>
      <c r="I182" s="84" t="s">
        <v>436</v>
      </c>
      <c r="J182" s="81">
        <v>1</v>
      </c>
      <c r="K182" s="90"/>
      <c r="L182" s="85" t="s">
        <v>31</v>
      </c>
      <c r="M182" s="80"/>
      <c r="N182" s="118"/>
      <c r="O182" s="118"/>
    </row>
    <row r="183" spans="2:15" ht="27.6" hidden="1">
      <c r="B183" s="98">
        <v>148</v>
      </c>
      <c r="C183" s="80" t="s">
        <v>319</v>
      </c>
      <c r="D183" s="80" t="s">
        <v>97</v>
      </c>
      <c r="E183" s="80" t="s">
        <v>97</v>
      </c>
      <c r="F183" s="80" t="s">
        <v>437</v>
      </c>
      <c r="G183" s="80"/>
      <c r="H183" s="80"/>
      <c r="I183" s="80"/>
      <c r="J183" s="80"/>
      <c r="K183" s="81"/>
      <c r="L183" s="80" t="s">
        <v>31</v>
      </c>
      <c r="M183" s="80"/>
      <c r="N183" s="118"/>
      <c r="O183" s="118"/>
    </row>
    <row r="184" spans="2:15" ht="27.6" hidden="1">
      <c r="B184" s="98">
        <v>149</v>
      </c>
      <c r="C184" s="80" t="s">
        <v>319</v>
      </c>
      <c r="D184" s="80" t="s">
        <v>97</v>
      </c>
      <c r="E184" s="80" t="s">
        <v>97</v>
      </c>
      <c r="F184" s="150" t="s">
        <v>438</v>
      </c>
      <c r="G184" s="80" t="s">
        <v>439</v>
      </c>
      <c r="H184" s="80"/>
      <c r="I184" s="151">
        <v>46016</v>
      </c>
      <c r="J184" s="80"/>
      <c r="K184" s="81"/>
      <c r="L184" s="80" t="s">
        <v>31</v>
      </c>
      <c r="M184" s="80" t="s">
        <v>440</v>
      </c>
      <c r="N184" s="118"/>
      <c r="O184" s="118"/>
    </row>
    <row r="185" spans="2:15" ht="27.6" hidden="1">
      <c r="B185" s="98">
        <v>150</v>
      </c>
      <c r="C185" s="80" t="s">
        <v>319</v>
      </c>
      <c r="D185" s="80" t="s">
        <v>343</v>
      </c>
      <c r="E185" s="80" t="s">
        <v>441</v>
      </c>
      <c r="F185" s="80" t="s">
        <v>442</v>
      </c>
      <c r="G185" s="80" t="s">
        <v>443</v>
      </c>
      <c r="H185" s="84"/>
      <c r="I185" s="84">
        <v>46007</v>
      </c>
      <c r="J185" s="81"/>
      <c r="K185" s="81"/>
      <c r="L185" s="80" t="s">
        <v>31</v>
      </c>
      <c r="M185" s="80" t="s">
        <v>444</v>
      </c>
      <c r="N185" s="118"/>
      <c r="O185" s="118"/>
    </row>
    <row r="186" spans="2:15" hidden="1">
      <c r="B186" s="87">
        <v>147</v>
      </c>
      <c r="C186" s="80" t="s">
        <v>335</v>
      </c>
      <c r="D186" s="80" t="s">
        <v>46</v>
      </c>
      <c r="E186" s="80"/>
      <c r="F186" s="80" t="s">
        <v>445</v>
      </c>
      <c r="G186" s="80" t="s">
        <v>446</v>
      </c>
      <c r="H186" s="84"/>
      <c r="I186" s="84">
        <v>46002</v>
      </c>
      <c r="J186" s="81"/>
      <c r="K186" s="81"/>
      <c r="L186" s="80" t="s">
        <v>31</v>
      </c>
      <c r="M186" s="80"/>
      <c r="N186" s="118"/>
      <c r="O186" s="118"/>
    </row>
    <row r="187" spans="2:15" hidden="1">
      <c r="B187" s="98">
        <v>149</v>
      </c>
      <c r="C187" s="80" t="s">
        <v>319</v>
      </c>
      <c r="D187" s="80" t="s">
        <v>97</v>
      </c>
      <c r="E187" s="80" t="s">
        <v>97</v>
      </c>
      <c r="F187" s="150" t="s">
        <v>447</v>
      </c>
      <c r="G187" s="80" t="s">
        <v>448</v>
      </c>
      <c r="H187" s="80"/>
      <c r="I187" s="151" t="s">
        <v>449</v>
      </c>
      <c r="J187" s="81"/>
      <c r="K187" s="81"/>
      <c r="L187" s="80" t="s">
        <v>31</v>
      </c>
      <c r="M187" s="80"/>
      <c r="N187" s="118"/>
      <c r="O187" s="118"/>
    </row>
    <row r="188" spans="2:15" hidden="1">
      <c r="B188" s="98">
        <v>150</v>
      </c>
      <c r="C188" s="80" t="s">
        <v>319</v>
      </c>
      <c r="D188" s="80" t="s">
        <v>97</v>
      </c>
      <c r="E188" s="80" t="s">
        <v>97</v>
      </c>
      <c r="F188" s="150" t="s">
        <v>450</v>
      </c>
      <c r="G188" s="80" t="s">
        <v>30</v>
      </c>
      <c r="H188" s="80"/>
      <c r="I188" s="151">
        <v>46045</v>
      </c>
      <c r="J188" s="81"/>
      <c r="K188" s="81"/>
      <c r="L188" s="80" t="s">
        <v>31</v>
      </c>
      <c r="M188" s="80"/>
      <c r="N188" s="118"/>
      <c r="O188" s="118"/>
    </row>
    <row r="189" spans="2:15" ht="82.9" hidden="1">
      <c r="B189" s="87">
        <v>139</v>
      </c>
      <c r="C189" s="80" t="s">
        <v>319</v>
      </c>
      <c r="D189" s="80" t="s">
        <v>328</v>
      </c>
      <c r="E189" s="80" t="s">
        <v>388</v>
      </c>
      <c r="F189" s="150" t="s">
        <v>451</v>
      </c>
      <c r="G189" s="80" t="s">
        <v>452</v>
      </c>
      <c r="H189" s="84">
        <v>45987</v>
      </c>
      <c r="I189" s="84" t="s">
        <v>449</v>
      </c>
      <c r="J189" s="81"/>
      <c r="K189" s="81"/>
      <c r="L189" s="80" t="s">
        <v>31</v>
      </c>
      <c r="M189" s="80"/>
      <c r="N189" s="118"/>
      <c r="O189" s="118"/>
    </row>
    <row r="190" spans="2:15" ht="27.6" hidden="1">
      <c r="B190" s="87">
        <v>140</v>
      </c>
      <c r="C190" s="80" t="s">
        <v>319</v>
      </c>
      <c r="D190" s="80" t="s">
        <v>328</v>
      </c>
      <c r="E190" s="80" t="s">
        <v>388</v>
      </c>
      <c r="F190" s="150" t="s">
        <v>453</v>
      </c>
      <c r="G190" s="80" t="s">
        <v>30</v>
      </c>
      <c r="H190" s="84"/>
      <c r="I190" s="84">
        <v>46045</v>
      </c>
      <c r="J190" s="81"/>
      <c r="K190" s="81"/>
      <c r="L190" s="80" t="s">
        <v>31</v>
      </c>
      <c r="M190" s="80"/>
      <c r="N190" s="118"/>
      <c r="O190" s="118"/>
    </row>
    <row r="191" spans="2:15" ht="27.6" hidden="1">
      <c r="B191" s="87">
        <v>151</v>
      </c>
      <c r="C191" s="80" t="s">
        <v>319</v>
      </c>
      <c r="D191" s="80" t="s">
        <v>454</v>
      </c>
      <c r="E191" s="80" t="s">
        <v>454</v>
      </c>
      <c r="F191" s="80" t="s">
        <v>455</v>
      </c>
      <c r="G191" s="80" t="s">
        <v>435</v>
      </c>
      <c r="H191" s="84">
        <v>46006</v>
      </c>
      <c r="I191" s="84">
        <v>46036</v>
      </c>
      <c r="J191" s="81"/>
      <c r="K191" s="81"/>
      <c r="L191" s="80" t="s">
        <v>31</v>
      </c>
      <c r="M191" s="80"/>
      <c r="N191" s="118"/>
      <c r="O191" s="118"/>
    </row>
    <row r="192" spans="2:15" ht="28.5" hidden="1">
      <c r="B192" s="87">
        <v>140</v>
      </c>
      <c r="C192" s="80" t="s">
        <v>456</v>
      </c>
      <c r="D192" s="80" t="s">
        <v>457</v>
      </c>
      <c r="E192" s="80" t="s">
        <v>388</v>
      </c>
      <c r="F192" s="188" t="s">
        <v>458</v>
      </c>
      <c r="G192" s="80" t="s">
        <v>74</v>
      </c>
      <c r="H192" s="84"/>
      <c r="I192" s="184"/>
      <c r="J192" s="81">
        <v>2</v>
      </c>
      <c r="K192" s="81"/>
      <c r="L192" s="80" t="s">
        <v>31</v>
      </c>
      <c r="M192" s="80" t="s">
        <v>459</v>
      </c>
      <c r="N192" s="118"/>
      <c r="O192" s="118"/>
    </row>
    <row r="193" spans="2:15" ht="41.45" hidden="1">
      <c r="B193" s="87">
        <v>151</v>
      </c>
      <c r="C193" s="80" t="s">
        <v>319</v>
      </c>
      <c r="D193" s="80" t="s">
        <v>454</v>
      </c>
      <c r="E193" s="80" t="s">
        <v>454</v>
      </c>
      <c r="F193" s="150" t="s">
        <v>460</v>
      </c>
      <c r="G193" s="80" t="s">
        <v>346</v>
      </c>
      <c r="H193" s="84">
        <v>46006</v>
      </c>
      <c r="I193" s="84">
        <v>46050</v>
      </c>
      <c r="J193" s="81"/>
      <c r="K193" s="81"/>
      <c r="L193" s="80" t="s">
        <v>31</v>
      </c>
      <c r="M193" s="80"/>
      <c r="N193" s="118"/>
      <c r="O193" s="118"/>
    </row>
    <row r="194" spans="2:15" ht="41.45" hidden="1">
      <c r="B194" s="87">
        <v>152</v>
      </c>
      <c r="C194" s="80" t="s">
        <v>335</v>
      </c>
      <c r="D194" s="80" t="s">
        <v>380</v>
      </c>
      <c r="E194" s="80" t="s">
        <v>461</v>
      </c>
      <c r="F194" s="80" t="s">
        <v>462</v>
      </c>
      <c r="G194" s="80" t="s">
        <v>74</v>
      </c>
      <c r="H194" s="84">
        <v>46002</v>
      </c>
      <c r="I194" s="84">
        <v>46038</v>
      </c>
      <c r="J194" s="81"/>
      <c r="K194" s="81"/>
      <c r="L194" s="80" t="s">
        <v>31</v>
      </c>
      <c r="M194" s="80"/>
      <c r="N194" s="118"/>
      <c r="O194" s="118"/>
    </row>
    <row r="195" spans="2:15" ht="27.6" hidden="1">
      <c r="B195" s="87">
        <v>154</v>
      </c>
      <c r="C195" s="80"/>
      <c r="D195" s="80" t="s">
        <v>46</v>
      </c>
      <c r="E195" s="80" t="s">
        <v>463</v>
      </c>
      <c r="F195" s="80" t="s">
        <v>464</v>
      </c>
      <c r="G195" s="80" t="s">
        <v>39</v>
      </c>
      <c r="H195" s="84"/>
      <c r="I195" s="81"/>
      <c r="J195" s="81"/>
      <c r="K195" s="81"/>
      <c r="L195" s="80" t="s">
        <v>31</v>
      </c>
      <c r="M195" s="80"/>
      <c r="N195" s="118"/>
      <c r="O195" s="118"/>
    </row>
    <row r="196" spans="2:15" ht="27.6" hidden="1">
      <c r="B196" s="87">
        <v>154</v>
      </c>
      <c r="C196" s="80" t="s">
        <v>319</v>
      </c>
      <c r="D196" s="80" t="s">
        <v>319</v>
      </c>
      <c r="E196" s="150" t="s">
        <v>465</v>
      </c>
      <c r="F196" s="80" t="s">
        <v>466</v>
      </c>
      <c r="G196" s="80" t="s">
        <v>59</v>
      </c>
      <c r="H196" s="84">
        <v>46028</v>
      </c>
      <c r="I196" s="84">
        <v>46038</v>
      </c>
      <c r="J196" s="81"/>
      <c r="K196" s="81"/>
      <c r="L196" s="80" t="s">
        <v>31</v>
      </c>
      <c r="M196" s="80"/>
      <c r="N196" s="118"/>
      <c r="O196" s="118"/>
    </row>
    <row r="197" spans="2:15" ht="27.6" hidden="1">
      <c r="B197" s="87">
        <v>155</v>
      </c>
      <c r="C197" s="80" t="s">
        <v>319</v>
      </c>
      <c r="D197" s="80" t="s">
        <v>319</v>
      </c>
      <c r="E197" s="150" t="s">
        <v>465</v>
      </c>
      <c r="F197" s="80" t="s">
        <v>467</v>
      </c>
      <c r="G197" s="80" t="s">
        <v>66</v>
      </c>
      <c r="H197" s="84"/>
      <c r="I197" s="84">
        <v>46049</v>
      </c>
      <c r="J197" s="81"/>
      <c r="K197" s="81"/>
      <c r="L197" s="80" t="s">
        <v>31</v>
      </c>
      <c r="M197" s="80"/>
      <c r="N197" s="118"/>
      <c r="O197" s="118"/>
    </row>
    <row r="198" spans="2:15" hidden="1">
      <c r="B198" s="98">
        <v>154</v>
      </c>
      <c r="C198" s="80" t="s">
        <v>335</v>
      </c>
      <c r="D198" s="80" t="s">
        <v>46</v>
      </c>
      <c r="E198" s="150" t="s">
        <v>468</v>
      </c>
      <c r="F198" s="80"/>
      <c r="G198" s="80" t="s">
        <v>59</v>
      </c>
      <c r="H198" s="84"/>
      <c r="I198" s="84">
        <v>46036</v>
      </c>
      <c r="J198" s="81"/>
      <c r="K198" s="81"/>
      <c r="L198" s="80" t="s">
        <v>31</v>
      </c>
      <c r="M198" s="80"/>
      <c r="N198" s="118"/>
      <c r="O198" s="118"/>
    </row>
    <row r="199" spans="2:15" ht="27.6" hidden="1">
      <c r="B199" s="87">
        <v>155</v>
      </c>
      <c r="C199" s="80" t="s">
        <v>469</v>
      </c>
      <c r="D199" s="80" t="s">
        <v>328</v>
      </c>
      <c r="E199" s="80" t="s">
        <v>470</v>
      </c>
      <c r="F199" s="148" t="s">
        <v>471</v>
      </c>
      <c r="G199" s="80" t="s">
        <v>74</v>
      </c>
      <c r="H199" s="84"/>
      <c r="I199" s="84">
        <v>46043</v>
      </c>
      <c r="J199" s="81"/>
      <c r="K199" s="81"/>
      <c r="L199" s="80" t="s">
        <v>31</v>
      </c>
      <c r="M199" s="80"/>
      <c r="N199" s="118"/>
      <c r="O199" s="118"/>
    </row>
    <row r="200" spans="2:15" ht="138" hidden="1">
      <c r="B200" s="87">
        <v>156</v>
      </c>
      <c r="C200" s="80" t="s">
        <v>319</v>
      </c>
      <c r="D200" s="80" t="s">
        <v>472</v>
      </c>
      <c r="E200" s="80" t="s">
        <v>473</v>
      </c>
      <c r="F200" s="150" t="s">
        <v>474</v>
      </c>
      <c r="G200" s="80" t="s">
        <v>475</v>
      </c>
      <c r="H200" s="84" t="s">
        <v>449</v>
      </c>
      <c r="I200" s="117"/>
      <c r="J200" s="81"/>
      <c r="K200" s="81"/>
      <c r="L200" s="80" t="s">
        <v>459</v>
      </c>
      <c r="M200" s="80"/>
      <c r="N200" s="118"/>
      <c r="O200" s="118"/>
    </row>
    <row r="201" spans="2:15" ht="55.15" hidden="1">
      <c r="B201" s="87">
        <v>157</v>
      </c>
      <c r="C201" s="80" t="s">
        <v>319</v>
      </c>
      <c r="D201" s="80" t="s">
        <v>46</v>
      </c>
      <c r="E201" s="80" t="s">
        <v>476</v>
      </c>
      <c r="F201" s="148" t="s">
        <v>477</v>
      </c>
      <c r="G201" s="80" t="s">
        <v>478</v>
      </c>
      <c r="H201" s="84"/>
      <c r="I201" s="84">
        <v>45684</v>
      </c>
      <c r="J201" s="81"/>
      <c r="K201" s="81"/>
      <c r="L201" s="80" t="s">
        <v>479</v>
      </c>
      <c r="M201" s="80"/>
      <c r="N201" s="118"/>
      <c r="O201" s="118"/>
    </row>
    <row r="202" spans="2:15" hidden="1">
      <c r="B202" s="87">
        <v>158</v>
      </c>
      <c r="C202" s="80" t="s">
        <v>319</v>
      </c>
      <c r="D202" s="80" t="s">
        <v>328</v>
      </c>
      <c r="E202" s="80" t="s">
        <v>480</v>
      </c>
      <c r="F202" s="80" t="s">
        <v>481</v>
      </c>
      <c r="G202" s="80" t="s">
        <v>30</v>
      </c>
      <c r="H202" s="84"/>
      <c r="I202" s="91">
        <v>46051</v>
      </c>
      <c r="J202" s="81"/>
      <c r="K202" s="141"/>
      <c r="L202" s="85" t="s">
        <v>31</v>
      </c>
      <c r="M202" s="80"/>
      <c r="N202" s="118"/>
      <c r="O202" s="118"/>
    </row>
    <row r="203" spans="2:15" ht="66.75" customHeight="1">
      <c r="B203" s="87">
        <v>159</v>
      </c>
      <c r="C203" s="80" t="s">
        <v>319</v>
      </c>
      <c r="D203" s="80" t="s">
        <v>482</v>
      </c>
      <c r="E203" s="80" t="s">
        <v>480</v>
      </c>
      <c r="F203" s="150" t="s">
        <v>483</v>
      </c>
      <c r="G203" s="80" t="s">
        <v>74</v>
      </c>
      <c r="H203" s="84"/>
      <c r="I203" s="184"/>
      <c r="J203" s="81">
        <v>2</v>
      </c>
      <c r="K203" s="81"/>
      <c r="L203" s="80" t="s">
        <v>484</v>
      </c>
      <c r="M203" s="80" t="s">
        <v>485</v>
      </c>
      <c r="N203" s="118"/>
      <c r="O203" s="118"/>
    </row>
    <row r="204" spans="2:15" ht="75" hidden="1" customHeight="1">
      <c r="B204" s="98">
        <v>159</v>
      </c>
      <c r="C204" s="80" t="s">
        <v>486</v>
      </c>
      <c r="D204" s="80" t="s">
        <v>46</v>
      </c>
      <c r="E204" s="80" t="s">
        <v>487</v>
      </c>
      <c r="F204" s="80" t="s">
        <v>488</v>
      </c>
      <c r="G204" s="80" t="s">
        <v>59</v>
      </c>
      <c r="H204" s="84"/>
      <c r="I204" s="195" t="s">
        <v>489</v>
      </c>
      <c r="J204" s="81"/>
      <c r="K204" s="81"/>
      <c r="L204" s="80" t="s">
        <v>31</v>
      </c>
      <c r="M204" s="190" t="s">
        <v>490</v>
      </c>
      <c r="N204" s="118"/>
      <c r="O204" s="118"/>
    </row>
    <row r="205" spans="2:15" ht="75" hidden="1" customHeight="1">
      <c r="B205" s="98">
        <v>159</v>
      </c>
      <c r="C205" s="80" t="s">
        <v>486</v>
      </c>
      <c r="D205" s="80" t="s">
        <v>46</v>
      </c>
      <c r="E205" s="80" t="s">
        <v>487</v>
      </c>
      <c r="F205" s="80" t="s">
        <v>491</v>
      </c>
      <c r="G205" s="80" t="s">
        <v>492</v>
      </c>
      <c r="H205" s="84"/>
      <c r="I205" s="84">
        <v>46113</v>
      </c>
      <c r="J205" s="81"/>
      <c r="K205" s="81"/>
      <c r="L205" s="80" t="s">
        <v>31</v>
      </c>
      <c r="M205" s="193" t="s">
        <v>493</v>
      </c>
      <c r="N205" s="118"/>
      <c r="O205" s="118"/>
    </row>
    <row r="206" spans="2:15" ht="27.6" hidden="1">
      <c r="B206" s="87">
        <v>159</v>
      </c>
      <c r="C206" s="80" t="s">
        <v>319</v>
      </c>
      <c r="D206" s="80" t="s">
        <v>46</v>
      </c>
      <c r="E206" s="80" t="s">
        <v>494</v>
      </c>
      <c r="F206" s="80" t="s">
        <v>495</v>
      </c>
      <c r="G206" s="80" t="s">
        <v>496</v>
      </c>
      <c r="H206" s="84"/>
      <c r="I206" s="81"/>
      <c r="J206" s="81"/>
      <c r="K206" s="81"/>
      <c r="L206" s="80" t="s">
        <v>479</v>
      </c>
      <c r="M206" s="80"/>
      <c r="N206" s="118"/>
      <c r="O206" s="118"/>
    </row>
    <row r="207" spans="2:15" ht="55.15" hidden="1">
      <c r="B207" s="87">
        <v>160</v>
      </c>
      <c r="C207" s="80"/>
      <c r="D207" s="80"/>
      <c r="E207" s="80" t="s">
        <v>497</v>
      </c>
      <c r="F207" s="80" t="s">
        <v>498</v>
      </c>
      <c r="G207" s="80" t="s">
        <v>346</v>
      </c>
      <c r="H207" s="84"/>
      <c r="I207" s="81"/>
      <c r="J207" s="81"/>
      <c r="K207" s="81"/>
      <c r="L207" s="80" t="s">
        <v>479</v>
      </c>
      <c r="M207" s="80"/>
      <c r="N207" s="118"/>
      <c r="O207" s="118"/>
    </row>
    <row r="208" spans="2:15" ht="27.6" hidden="1">
      <c r="B208" s="87">
        <v>161</v>
      </c>
      <c r="C208" s="80" t="s">
        <v>319</v>
      </c>
      <c r="D208" s="80" t="s">
        <v>97</v>
      </c>
      <c r="E208" s="80" t="s">
        <v>499</v>
      </c>
      <c r="F208" s="80"/>
      <c r="G208" s="80" t="s">
        <v>30</v>
      </c>
      <c r="H208" s="84">
        <v>46058</v>
      </c>
      <c r="I208" s="84">
        <v>46062</v>
      </c>
      <c r="J208" s="81"/>
      <c r="K208" s="81"/>
      <c r="L208" s="80" t="s">
        <v>31</v>
      </c>
      <c r="M208" s="80"/>
      <c r="N208" s="118"/>
      <c r="O208" s="118"/>
    </row>
    <row r="209" spans="2:15" ht="27.6" hidden="1">
      <c r="B209" s="87">
        <v>161</v>
      </c>
      <c r="C209" s="80"/>
      <c r="D209" s="80" t="s">
        <v>500</v>
      </c>
      <c r="E209" s="80" t="s">
        <v>501</v>
      </c>
      <c r="F209" s="80"/>
      <c r="G209" s="80" t="s">
        <v>502</v>
      </c>
      <c r="H209" s="84"/>
      <c r="I209" s="84">
        <v>46062</v>
      </c>
      <c r="J209" s="81"/>
      <c r="K209" s="141"/>
      <c r="L209" s="80" t="s">
        <v>31</v>
      </c>
      <c r="M209" s="80"/>
      <c r="N209" s="118"/>
      <c r="O209" s="118"/>
    </row>
    <row r="210" spans="2:15" ht="27.6" hidden="1">
      <c r="B210" s="87">
        <v>161</v>
      </c>
      <c r="C210" s="80"/>
      <c r="D210" s="80" t="s">
        <v>255</v>
      </c>
      <c r="E210" s="80" t="s">
        <v>503</v>
      </c>
      <c r="F210" s="80" t="s">
        <v>504</v>
      </c>
      <c r="G210" s="80" t="s">
        <v>346</v>
      </c>
      <c r="H210" s="84"/>
      <c r="I210" s="84">
        <v>46058</v>
      </c>
      <c r="J210" s="81"/>
      <c r="K210" s="81"/>
      <c r="L210" s="80" t="s">
        <v>31</v>
      </c>
      <c r="M210" s="80"/>
      <c r="N210" s="118"/>
      <c r="O210" s="118"/>
    </row>
    <row r="211" spans="2:15" ht="27.6" hidden="1">
      <c r="B211" s="87">
        <v>165</v>
      </c>
      <c r="C211" s="80" t="s">
        <v>319</v>
      </c>
      <c r="D211" s="80"/>
      <c r="E211" s="80" t="s">
        <v>505</v>
      </c>
      <c r="F211" s="80" t="s">
        <v>506</v>
      </c>
      <c r="G211" s="80" t="s">
        <v>346</v>
      </c>
      <c r="H211" s="84">
        <v>46058</v>
      </c>
      <c r="I211" s="84">
        <v>46070</v>
      </c>
      <c r="J211" s="81"/>
      <c r="K211" s="81" t="s">
        <v>507</v>
      </c>
      <c r="L211" s="80" t="s">
        <v>31</v>
      </c>
      <c r="M211" s="80" t="s">
        <v>508</v>
      </c>
      <c r="N211" s="118"/>
      <c r="O211" s="118"/>
    </row>
    <row r="212" spans="2:15" ht="43.15" hidden="1">
      <c r="B212" s="87">
        <v>166</v>
      </c>
      <c r="C212" s="80" t="s">
        <v>456</v>
      </c>
      <c r="D212" s="80" t="s">
        <v>420</v>
      </c>
      <c r="E212" s="80" t="s">
        <v>509</v>
      </c>
      <c r="F212" s="189" t="s">
        <v>510</v>
      </c>
      <c r="G212" s="80" t="s">
        <v>346</v>
      </c>
      <c r="H212" s="84">
        <v>46065</v>
      </c>
      <c r="I212" s="84">
        <v>46069</v>
      </c>
      <c r="J212" s="81">
        <v>1</v>
      </c>
      <c r="K212" s="81" t="s">
        <v>511</v>
      </c>
      <c r="L212" s="80" t="s">
        <v>31</v>
      </c>
      <c r="M212" s="80"/>
      <c r="N212" s="118"/>
      <c r="O212" s="118"/>
    </row>
    <row r="213" spans="2:15" ht="69" hidden="1">
      <c r="B213" s="98">
        <v>162</v>
      </c>
      <c r="C213" s="80"/>
      <c r="D213" s="80" t="s">
        <v>46</v>
      </c>
      <c r="E213" s="80" t="s">
        <v>512</v>
      </c>
      <c r="F213" s="80" t="s">
        <v>513</v>
      </c>
      <c r="G213" s="80" t="s">
        <v>514</v>
      </c>
      <c r="H213" s="84"/>
      <c r="I213" s="81"/>
      <c r="J213" s="81"/>
      <c r="K213" s="81"/>
      <c r="L213" s="80" t="s">
        <v>31</v>
      </c>
      <c r="M213" s="80"/>
      <c r="N213" s="118"/>
      <c r="O213" s="118"/>
    </row>
    <row r="214" spans="2:15" ht="101.25" hidden="1">
      <c r="B214" s="87">
        <v>167</v>
      </c>
      <c r="C214" s="80" t="s">
        <v>456</v>
      </c>
      <c r="D214" s="80" t="s">
        <v>420</v>
      </c>
      <c r="E214" s="80" t="s">
        <v>509</v>
      </c>
      <c r="F214" s="192" t="s">
        <v>515</v>
      </c>
      <c r="G214" s="80" t="s">
        <v>166</v>
      </c>
      <c r="H214" s="84">
        <v>46065</v>
      </c>
      <c r="I214" s="84">
        <v>46099</v>
      </c>
      <c r="J214" s="81">
        <v>1</v>
      </c>
      <c r="K214" s="81" t="s">
        <v>516</v>
      </c>
      <c r="L214" s="80" t="s">
        <v>31</v>
      </c>
      <c r="M214" s="80" t="s">
        <v>517</v>
      </c>
      <c r="N214" s="118"/>
      <c r="O214" s="118"/>
    </row>
    <row r="215" spans="2:15" ht="14.45" hidden="1">
      <c r="B215" s="98">
        <v>182</v>
      </c>
      <c r="C215" s="80" t="s">
        <v>456</v>
      </c>
      <c r="D215" s="80" t="s">
        <v>420</v>
      </c>
      <c r="E215" s="80"/>
      <c r="F215" s="192" t="s">
        <v>518</v>
      </c>
      <c r="G215" s="80" t="s">
        <v>519</v>
      </c>
      <c r="H215" s="84"/>
      <c r="I215" s="84"/>
      <c r="J215" s="81"/>
      <c r="K215" s="81"/>
      <c r="L215" s="142" t="s">
        <v>31</v>
      </c>
      <c r="M215" s="80"/>
      <c r="N215" s="118"/>
      <c r="O215" s="118"/>
    </row>
    <row r="216" spans="2:15" ht="27.6" hidden="1">
      <c r="B216" s="87">
        <v>167</v>
      </c>
      <c r="C216" s="80" t="s">
        <v>335</v>
      </c>
      <c r="D216" s="80" t="s">
        <v>520</v>
      </c>
      <c r="E216" s="80" t="s">
        <v>521</v>
      </c>
      <c r="F216" s="80" t="s">
        <v>522</v>
      </c>
      <c r="G216" s="80" t="s">
        <v>59</v>
      </c>
      <c r="H216" s="84">
        <v>46066</v>
      </c>
      <c r="I216" s="84">
        <v>46070</v>
      </c>
      <c r="J216" s="81"/>
      <c r="K216" s="81"/>
      <c r="L216" s="142" t="s">
        <v>31</v>
      </c>
      <c r="M216" s="80"/>
      <c r="N216" s="118"/>
      <c r="O216" s="118"/>
    </row>
    <row r="217" spans="2:15" hidden="1">
      <c r="B217" s="191">
        <v>168</v>
      </c>
      <c r="C217" s="85" t="s">
        <v>335</v>
      </c>
      <c r="D217" s="85" t="s">
        <v>46</v>
      </c>
      <c r="E217" s="85" t="s">
        <v>523</v>
      </c>
      <c r="F217" s="85" t="s">
        <v>524</v>
      </c>
      <c r="G217" s="85" t="s">
        <v>35</v>
      </c>
      <c r="H217" s="91">
        <v>46070</v>
      </c>
      <c r="I217" s="90"/>
      <c r="J217" s="90"/>
      <c r="K217" s="141"/>
      <c r="L217" s="142" t="s">
        <v>31</v>
      </c>
      <c r="M217" s="85"/>
      <c r="N217" s="119"/>
      <c r="O217" s="119"/>
    </row>
    <row r="218" spans="2:15" hidden="1">
      <c r="B218" s="191">
        <v>169</v>
      </c>
      <c r="C218" s="80" t="s">
        <v>335</v>
      </c>
      <c r="D218" s="80" t="s">
        <v>97</v>
      </c>
      <c r="E218" s="80" t="s">
        <v>525</v>
      </c>
      <c r="F218" s="80" t="s">
        <v>526</v>
      </c>
      <c r="G218" s="80" t="s">
        <v>59</v>
      </c>
      <c r="H218" s="84"/>
      <c r="I218" s="91">
        <v>46070</v>
      </c>
      <c r="J218" s="81"/>
      <c r="K218" s="141"/>
      <c r="L218" s="142" t="s">
        <v>31</v>
      </c>
      <c r="M218" s="80"/>
      <c r="N218" s="118"/>
      <c r="O218" s="118"/>
    </row>
    <row r="219" spans="2:15" ht="28.5">
      <c r="B219" s="98">
        <v>170</v>
      </c>
      <c r="C219" s="85" t="s">
        <v>319</v>
      </c>
      <c r="D219" s="85" t="s">
        <v>97</v>
      </c>
      <c r="E219" s="85" t="s">
        <v>527</v>
      </c>
      <c r="F219" s="85" t="s">
        <v>528</v>
      </c>
      <c r="G219" s="85" t="s">
        <v>74</v>
      </c>
      <c r="H219" s="91"/>
      <c r="I219" s="91" t="s">
        <v>529</v>
      </c>
      <c r="J219" s="90">
        <v>3</v>
      </c>
      <c r="K219" s="141"/>
      <c r="L219" s="80" t="s">
        <v>484</v>
      </c>
      <c r="M219" s="85" t="s">
        <v>530</v>
      </c>
      <c r="N219" s="119"/>
      <c r="O219" s="118"/>
    </row>
    <row r="220" spans="2:15" ht="101.25" hidden="1">
      <c r="B220" s="149">
        <v>171</v>
      </c>
      <c r="C220" s="80" t="s">
        <v>335</v>
      </c>
      <c r="D220" s="85" t="s">
        <v>531</v>
      </c>
      <c r="E220" s="85" t="s">
        <v>532</v>
      </c>
      <c r="F220" s="85" t="s">
        <v>533</v>
      </c>
      <c r="G220" s="85" t="s">
        <v>35</v>
      </c>
      <c r="H220" s="91"/>
      <c r="I220" s="143">
        <v>46119</v>
      </c>
      <c r="J220" s="90"/>
      <c r="K220" s="90"/>
      <c r="L220" s="80" t="s">
        <v>31</v>
      </c>
      <c r="M220" s="85" t="s">
        <v>534</v>
      </c>
      <c r="N220" s="119"/>
      <c r="O220" s="119"/>
    </row>
    <row r="221" spans="2:15" ht="55.15" hidden="1">
      <c r="B221" s="87">
        <v>172</v>
      </c>
      <c r="C221" s="80" t="s">
        <v>335</v>
      </c>
      <c r="D221" s="80" t="s">
        <v>46</v>
      </c>
      <c r="E221" s="80" t="s">
        <v>535</v>
      </c>
      <c r="F221" s="80" t="s">
        <v>536</v>
      </c>
      <c r="G221" s="80" t="s">
        <v>30</v>
      </c>
      <c r="H221" s="84"/>
      <c r="I221" s="81"/>
      <c r="J221" s="81"/>
      <c r="K221" s="81"/>
      <c r="L221" s="80" t="s">
        <v>31</v>
      </c>
      <c r="M221" s="80"/>
      <c r="N221" s="118"/>
      <c r="O221" s="118"/>
    </row>
    <row r="222" spans="2:15" ht="27.6" hidden="1">
      <c r="B222" s="87">
        <v>173</v>
      </c>
      <c r="C222" s="80"/>
      <c r="D222" s="80" t="s">
        <v>46</v>
      </c>
      <c r="E222" s="80" t="s">
        <v>537</v>
      </c>
      <c r="F222" s="80" t="s">
        <v>538</v>
      </c>
      <c r="G222" s="80" t="s">
        <v>435</v>
      </c>
      <c r="H222" s="84">
        <v>46079</v>
      </c>
      <c r="I222" s="81"/>
      <c r="J222" s="81"/>
      <c r="K222" s="81"/>
      <c r="L222" s="80" t="s">
        <v>31</v>
      </c>
      <c r="M222" s="80"/>
      <c r="N222" s="118"/>
      <c r="O222" s="118"/>
    </row>
    <row r="223" spans="2:15" hidden="1">
      <c r="B223" s="87">
        <v>174</v>
      </c>
      <c r="C223" s="80" t="s">
        <v>343</v>
      </c>
      <c r="D223" s="80"/>
      <c r="E223" s="80" t="s">
        <v>539</v>
      </c>
      <c r="F223" s="80" t="s">
        <v>540</v>
      </c>
      <c r="G223" s="80" t="s">
        <v>346</v>
      </c>
      <c r="H223" s="84"/>
      <c r="I223" s="81"/>
      <c r="J223" s="81"/>
      <c r="K223" s="81"/>
      <c r="L223" s="80" t="s">
        <v>31</v>
      </c>
      <c r="M223" s="80" t="s">
        <v>541</v>
      </c>
      <c r="N223" s="118"/>
      <c r="O223" s="118"/>
    </row>
    <row r="224" spans="2:15" ht="41.45" hidden="1">
      <c r="B224" s="87">
        <v>175</v>
      </c>
      <c r="C224" s="80" t="s">
        <v>335</v>
      </c>
      <c r="D224" s="80" t="s">
        <v>380</v>
      </c>
      <c r="E224" s="80" t="s">
        <v>542</v>
      </c>
      <c r="F224" s="80" t="s">
        <v>543</v>
      </c>
      <c r="G224" s="80" t="s">
        <v>544</v>
      </c>
      <c r="H224" s="84"/>
      <c r="I224" s="81"/>
      <c r="J224" s="81"/>
      <c r="K224" s="81"/>
      <c r="L224" s="80" t="s">
        <v>31</v>
      </c>
      <c r="M224" s="80"/>
      <c r="N224" s="118"/>
      <c r="O224" s="118"/>
    </row>
    <row r="225" spans="2:15" ht="18" hidden="1">
      <c r="B225" s="87">
        <v>176</v>
      </c>
      <c r="C225" s="80" t="s">
        <v>335</v>
      </c>
      <c r="D225" s="80" t="s">
        <v>380</v>
      </c>
      <c r="E225" s="80" t="s">
        <v>545</v>
      </c>
      <c r="F225" s="80" t="s">
        <v>546</v>
      </c>
      <c r="G225" s="80" t="s">
        <v>547</v>
      </c>
      <c r="H225" s="84"/>
      <c r="I225" s="81"/>
      <c r="J225" s="81"/>
      <c r="K225" s="81"/>
      <c r="L225" s="80" t="s">
        <v>31</v>
      </c>
      <c r="M225" s="80" t="s">
        <v>548</v>
      </c>
      <c r="N225" s="118"/>
      <c r="O225" s="118"/>
    </row>
    <row r="226" spans="2:15" ht="115.5" customHeight="1">
      <c r="B226" s="98">
        <v>177</v>
      </c>
      <c r="C226" s="80" t="s">
        <v>335</v>
      </c>
      <c r="D226" s="80" t="s">
        <v>549</v>
      </c>
      <c r="E226" s="80" t="s">
        <v>545</v>
      </c>
      <c r="F226" s="148" t="s">
        <v>550</v>
      </c>
      <c r="G226" s="80" t="s">
        <v>74</v>
      </c>
      <c r="H226" s="84"/>
      <c r="I226" s="143">
        <v>46129</v>
      </c>
      <c r="J226" s="81"/>
      <c r="K226" s="202" t="s">
        <v>551</v>
      </c>
      <c r="L226" s="80" t="s">
        <v>484</v>
      </c>
      <c r="M226" s="80"/>
      <c r="N226" s="118"/>
      <c r="O226" s="118"/>
    </row>
    <row r="227" spans="2:15" hidden="1">
      <c r="B227" s="191">
        <v>178</v>
      </c>
      <c r="C227" s="85" t="s">
        <v>335</v>
      </c>
      <c r="D227" s="80" t="s">
        <v>46</v>
      </c>
      <c r="E227" s="80" t="s">
        <v>552</v>
      </c>
      <c r="F227" s="150" t="s">
        <v>553</v>
      </c>
      <c r="G227" s="80" t="s">
        <v>448</v>
      </c>
      <c r="H227" s="91"/>
      <c r="I227" s="91"/>
      <c r="J227" s="81">
        <v>3</v>
      </c>
      <c r="K227" s="81"/>
      <c r="L227" s="80" t="s">
        <v>31</v>
      </c>
      <c r="M227" s="80"/>
      <c r="N227" s="118"/>
      <c r="O227" s="118"/>
    </row>
    <row r="228" spans="2:15" ht="41.45" hidden="1">
      <c r="B228" s="87">
        <v>179</v>
      </c>
      <c r="C228" s="80" t="s">
        <v>319</v>
      </c>
      <c r="D228" s="80" t="s">
        <v>554</v>
      </c>
      <c r="E228" s="80" t="s">
        <v>555</v>
      </c>
      <c r="F228" s="80" t="s">
        <v>556</v>
      </c>
      <c r="G228" s="80" t="s">
        <v>346</v>
      </c>
      <c r="H228" s="84"/>
      <c r="I228" s="81"/>
      <c r="J228" s="81"/>
      <c r="K228" s="81"/>
      <c r="L228" s="80" t="s">
        <v>31</v>
      </c>
      <c r="M228" s="80" t="s">
        <v>557</v>
      </c>
      <c r="N228" s="118"/>
      <c r="O228" s="118"/>
    </row>
    <row r="229" spans="2:15" ht="86.25" hidden="1">
      <c r="B229" s="87">
        <v>180</v>
      </c>
      <c r="C229" s="80" t="s">
        <v>319</v>
      </c>
      <c r="D229" s="80" t="s">
        <v>46</v>
      </c>
      <c r="E229" s="80" t="s">
        <v>558</v>
      </c>
      <c r="F229" s="80" t="s">
        <v>559</v>
      </c>
      <c r="G229" s="80" t="s">
        <v>59</v>
      </c>
      <c r="H229" s="84"/>
      <c r="I229" s="81"/>
      <c r="J229" s="81"/>
      <c r="K229" s="81"/>
      <c r="L229" s="80" t="s">
        <v>31</v>
      </c>
      <c r="M229" s="80" t="s">
        <v>560</v>
      </c>
      <c r="N229" s="118"/>
      <c r="O229" s="118"/>
    </row>
    <row r="230" spans="2:15" ht="41.45" hidden="1">
      <c r="B230" s="87">
        <v>181</v>
      </c>
      <c r="C230" s="80" t="s">
        <v>561</v>
      </c>
      <c r="D230" s="80" t="s">
        <v>420</v>
      </c>
      <c r="E230" s="80" t="s">
        <v>562</v>
      </c>
      <c r="F230" s="80" t="s">
        <v>563</v>
      </c>
      <c r="G230" s="80" t="s">
        <v>346</v>
      </c>
      <c r="H230" s="84"/>
      <c r="I230" s="81"/>
      <c r="J230" s="81"/>
      <c r="K230" s="81"/>
      <c r="L230" s="80" t="s">
        <v>31</v>
      </c>
      <c r="M230" s="80"/>
      <c r="N230" s="118"/>
      <c r="O230" s="118"/>
    </row>
    <row r="231" spans="2:15" ht="66" customHeight="1">
      <c r="B231" s="87">
        <v>181</v>
      </c>
      <c r="C231" s="80" t="s">
        <v>319</v>
      </c>
      <c r="D231" s="80" t="s">
        <v>564</v>
      </c>
      <c r="E231" s="80"/>
      <c r="F231" s="148" t="s">
        <v>565</v>
      </c>
      <c r="G231" s="80" t="s">
        <v>66</v>
      </c>
      <c r="H231" s="84"/>
      <c r="I231" s="84">
        <v>46129</v>
      </c>
      <c r="J231" s="81"/>
      <c r="K231" s="81"/>
      <c r="L231" s="80" t="s">
        <v>484</v>
      </c>
      <c r="M231" s="80"/>
      <c r="N231" s="118"/>
      <c r="O231" s="118"/>
    </row>
    <row r="232" spans="2:15" ht="30" customHeight="1">
      <c r="B232" s="87">
        <v>182</v>
      </c>
      <c r="C232" s="80" t="s">
        <v>335</v>
      </c>
      <c r="D232" s="142" t="s">
        <v>566</v>
      </c>
      <c r="E232" s="80"/>
      <c r="F232" s="80" t="s">
        <v>567</v>
      </c>
      <c r="G232" s="80" t="s">
        <v>568</v>
      </c>
      <c r="H232" s="84">
        <v>46101</v>
      </c>
      <c r="I232" s="84" t="s">
        <v>20</v>
      </c>
      <c r="J232" s="81"/>
      <c r="K232" s="81"/>
      <c r="L232" s="80" t="s">
        <v>484</v>
      </c>
      <c r="M232" s="80" t="s">
        <v>459</v>
      </c>
      <c r="N232" s="118"/>
      <c r="O232" s="118"/>
    </row>
    <row r="233" spans="2:15" ht="28.5" hidden="1">
      <c r="B233" s="87">
        <v>183</v>
      </c>
      <c r="C233" s="80" t="s">
        <v>335</v>
      </c>
      <c r="D233" s="80" t="s">
        <v>549</v>
      </c>
      <c r="E233" s="80" t="s">
        <v>545</v>
      </c>
      <c r="F233" s="142" t="s">
        <v>569</v>
      </c>
      <c r="G233" s="142" t="s">
        <v>35</v>
      </c>
      <c r="H233" s="143">
        <v>46105</v>
      </c>
      <c r="I233" s="143">
        <v>46108</v>
      </c>
      <c r="J233" s="81"/>
      <c r="K233" s="81"/>
      <c r="L233" s="80" t="s">
        <v>31</v>
      </c>
      <c r="M233" s="80"/>
      <c r="N233" s="118"/>
      <c r="O233" s="118"/>
    </row>
    <row r="234" spans="2:15" customFormat="1" ht="54.75" customHeight="1">
      <c r="B234" s="87">
        <v>184</v>
      </c>
      <c r="C234" s="135" t="s">
        <v>26</v>
      </c>
      <c r="D234" s="135" t="s">
        <v>570</v>
      </c>
      <c r="E234" s="201" t="s">
        <v>571</v>
      </c>
      <c r="F234" s="201" t="s">
        <v>572</v>
      </c>
      <c r="G234" s="135" t="s">
        <v>59</v>
      </c>
      <c r="H234" s="199" t="s">
        <v>573</v>
      </c>
      <c r="I234" s="84" t="s">
        <v>20</v>
      </c>
      <c r="J234" s="200"/>
      <c r="K234" s="81"/>
      <c r="L234" s="80" t="s">
        <v>484</v>
      </c>
      <c r="M234" s="150" t="s">
        <v>574</v>
      </c>
      <c r="N234" s="131"/>
      <c r="O234" s="131"/>
    </row>
    <row r="235" spans="2:15" ht="14.25" hidden="1">
      <c r="B235" s="87">
        <v>185</v>
      </c>
      <c r="C235" s="80" t="s">
        <v>319</v>
      </c>
      <c r="D235" s="80"/>
      <c r="E235" s="142" t="s">
        <v>575</v>
      </c>
      <c r="F235" s="80"/>
      <c r="G235" s="135" t="s">
        <v>59</v>
      </c>
      <c r="H235" s="84"/>
      <c r="I235" s="143">
        <v>46105</v>
      </c>
      <c r="J235" s="81"/>
      <c r="K235" s="81"/>
      <c r="L235" s="80" t="s">
        <v>31</v>
      </c>
      <c r="M235" s="80"/>
      <c r="N235" s="118"/>
      <c r="O235" s="118"/>
    </row>
    <row r="236" spans="2:15" ht="64.5" customHeight="1">
      <c r="B236" s="87">
        <v>186</v>
      </c>
      <c r="C236" s="80" t="s">
        <v>319</v>
      </c>
      <c r="D236" s="80"/>
      <c r="E236" s="142" t="s">
        <v>576</v>
      </c>
      <c r="F236" s="150" t="s">
        <v>577</v>
      </c>
      <c r="G236" s="142" t="s">
        <v>578</v>
      </c>
      <c r="H236" s="143">
        <v>46105</v>
      </c>
      <c r="I236" s="203">
        <v>46136</v>
      </c>
      <c r="J236" s="81" t="s">
        <v>579</v>
      </c>
      <c r="K236" s="81"/>
      <c r="L236" s="80" t="s">
        <v>484</v>
      </c>
      <c r="M236" s="80" t="s">
        <v>580</v>
      </c>
      <c r="N236" s="118"/>
      <c r="O236" s="118"/>
    </row>
    <row r="237" spans="2:15" ht="57.75">
      <c r="B237" s="87">
        <v>187</v>
      </c>
      <c r="C237" s="80" t="s">
        <v>335</v>
      </c>
      <c r="D237" s="135" t="s">
        <v>570</v>
      </c>
      <c r="E237" s="80" t="s">
        <v>581</v>
      </c>
      <c r="F237" s="80" t="s">
        <v>582</v>
      </c>
      <c r="G237" s="80" t="s">
        <v>59</v>
      </c>
      <c r="H237" s="84">
        <v>46101</v>
      </c>
      <c r="I237" s="203"/>
      <c r="J237" s="81"/>
      <c r="K237" s="81"/>
      <c r="L237" s="80" t="s">
        <v>484</v>
      </c>
      <c r="M237" s="150" t="s">
        <v>574</v>
      </c>
      <c r="N237" s="118"/>
      <c r="O237" s="118"/>
    </row>
    <row r="238" spans="2:15" ht="43.5">
      <c r="B238" s="87">
        <v>188</v>
      </c>
      <c r="C238" s="80" t="s">
        <v>335</v>
      </c>
      <c r="D238" s="80" t="s">
        <v>583</v>
      </c>
      <c r="E238" s="80" t="s">
        <v>584</v>
      </c>
      <c r="F238" s="80" t="s">
        <v>585</v>
      </c>
      <c r="G238" s="80" t="s">
        <v>59</v>
      </c>
      <c r="H238" s="84">
        <v>46079</v>
      </c>
      <c r="I238" s="81"/>
      <c r="J238" s="81" t="s">
        <v>586</v>
      </c>
      <c r="K238" s="81"/>
      <c r="L238" s="80" t="s">
        <v>484</v>
      </c>
      <c r="M238" s="80" t="s">
        <v>587</v>
      </c>
      <c r="N238" s="118"/>
      <c r="O238" s="118"/>
    </row>
    <row r="239" spans="2:15" ht="36" hidden="1" customHeight="1">
      <c r="B239" s="87">
        <v>189</v>
      </c>
      <c r="C239" s="80" t="s">
        <v>255</v>
      </c>
      <c r="D239" s="80" t="s">
        <v>46</v>
      </c>
      <c r="E239" s="80"/>
      <c r="F239" s="80" t="s">
        <v>588</v>
      </c>
      <c r="G239" s="80" t="s">
        <v>59</v>
      </c>
      <c r="H239" s="84">
        <v>46106</v>
      </c>
      <c r="I239" s="81"/>
      <c r="J239" s="81"/>
      <c r="K239" s="81"/>
      <c r="L239" s="80" t="s">
        <v>31</v>
      </c>
      <c r="M239" s="80"/>
      <c r="N239" s="118"/>
      <c r="O239" s="118"/>
    </row>
    <row r="240" spans="2:15" ht="14.25" hidden="1">
      <c r="B240" s="87">
        <v>190</v>
      </c>
      <c r="C240" s="80" t="s">
        <v>589</v>
      </c>
      <c r="D240" s="80"/>
      <c r="E240" s="80"/>
      <c r="F240" s="80" t="s">
        <v>590</v>
      </c>
      <c r="G240" s="80" t="s">
        <v>346</v>
      </c>
      <c r="H240" s="84"/>
      <c r="I240" s="81"/>
      <c r="J240" s="81"/>
      <c r="K240" s="81"/>
      <c r="L240" s="80" t="s">
        <v>31</v>
      </c>
      <c r="M240" s="80"/>
      <c r="N240" s="118"/>
      <c r="O240" s="118"/>
    </row>
    <row r="241" spans="2:15" ht="14.25" hidden="1">
      <c r="B241" s="87">
        <v>191</v>
      </c>
      <c r="C241" s="80" t="s">
        <v>255</v>
      </c>
      <c r="D241" s="80"/>
      <c r="E241" s="80"/>
      <c r="F241" s="80" t="s">
        <v>591</v>
      </c>
      <c r="G241" s="80" t="s">
        <v>346</v>
      </c>
      <c r="H241" s="84">
        <v>46106</v>
      </c>
      <c r="I241" s="81"/>
      <c r="J241" s="81"/>
      <c r="K241" s="81"/>
      <c r="L241" s="80" t="s">
        <v>31</v>
      </c>
      <c r="M241" s="80"/>
      <c r="N241" s="118"/>
      <c r="O241" s="118"/>
    </row>
    <row r="242" spans="2:15" ht="28.5" hidden="1">
      <c r="B242" s="87">
        <v>192</v>
      </c>
      <c r="C242" s="80" t="s">
        <v>255</v>
      </c>
      <c r="D242" s="80"/>
      <c r="E242" s="80"/>
      <c r="F242" s="80" t="s">
        <v>592</v>
      </c>
      <c r="G242" s="80" t="s">
        <v>59</v>
      </c>
      <c r="H242" s="84">
        <v>46106</v>
      </c>
      <c r="I242" s="81"/>
      <c r="J242" s="81"/>
      <c r="K242" s="81"/>
      <c r="L242" s="80" t="s">
        <v>593</v>
      </c>
      <c r="M242" s="80"/>
      <c r="N242" s="118"/>
      <c r="O242" s="118"/>
    </row>
    <row r="243" spans="2:15" ht="28.5" hidden="1">
      <c r="B243" s="87">
        <v>193</v>
      </c>
      <c r="C243" s="80" t="s">
        <v>589</v>
      </c>
      <c r="D243" s="80"/>
      <c r="E243" s="80" t="s">
        <v>56</v>
      </c>
      <c r="F243" s="80" t="s">
        <v>594</v>
      </c>
      <c r="G243" s="80" t="s">
        <v>74</v>
      </c>
      <c r="H243" s="84"/>
      <c r="I243" s="84">
        <v>46112</v>
      </c>
      <c r="J243" s="81">
        <v>1</v>
      </c>
      <c r="K243" s="81"/>
      <c r="L243" s="80" t="s">
        <v>31</v>
      </c>
      <c r="M243" s="80" t="s">
        <v>595</v>
      </c>
      <c r="N243" s="118"/>
      <c r="O243" s="118"/>
    </row>
    <row r="244" spans="2:15" ht="14.25" hidden="1">
      <c r="B244" s="98">
        <v>197</v>
      </c>
      <c r="C244" s="80" t="s">
        <v>589</v>
      </c>
      <c r="D244" s="80"/>
      <c r="E244" s="80" t="s">
        <v>56</v>
      </c>
      <c r="F244" s="80" t="s">
        <v>187</v>
      </c>
      <c r="G244" s="80" t="s">
        <v>492</v>
      </c>
      <c r="H244" s="84"/>
      <c r="I244" s="84">
        <v>46114</v>
      </c>
      <c r="J244" s="81"/>
      <c r="K244" s="81"/>
      <c r="L244" s="80" t="s">
        <v>31</v>
      </c>
      <c r="M244" s="80"/>
      <c r="N244" s="118"/>
      <c r="O244" s="118"/>
    </row>
    <row r="245" spans="2:15" ht="28.5" hidden="1">
      <c r="B245" s="87">
        <v>194</v>
      </c>
      <c r="C245" s="80" t="s">
        <v>589</v>
      </c>
      <c r="D245" s="80"/>
      <c r="E245" s="80" t="s">
        <v>596</v>
      </c>
      <c r="F245" s="80" t="s">
        <v>597</v>
      </c>
      <c r="G245" s="80" t="s">
        <v>598</v>
      </c>
      <c r="H245" s="84">
        <v>46114</v>
      </c>
      <c r="I245" s="81"/>
      <c r="J245" s="81"/>
      <c r="K245" s="81"/>
      <c r="L245" s="80" t="s">
        <v>31</v>
      </c>
      <c r="M245" s="80"/>
      <c r="N245" s="118"/>
      <c r="O245" s="118"/>
    </row>
    <row r="246" spans="2:15" ht="78.75" customHeight="1">
      <c r="B246" s="87">
        <v>195</v>
      </c>
      <c r="C246" s="80" t="s">
        <v>589</v>
      </c>
      <c r="D246" s="80" t="s">
        <v>46</v>
      </c>
      <c r="E246" s="80"/>
      <c r="F246" s="148" t="s">
        <v>599</v>
      </c>
      <c r="G246" s="80" t="s">
        <v>59</v>
      </c>
      <c r="H246" s="84"/>
      <c r="I246" s="81"/>
      <c r="J246" s="81"/>
      <c r="K246" s="81"/>
      <c r="L246" s="80" t="s">
        <v>31</v>
      </c>
      <c r="M246" s="80"/>
      <c r="N246" s="118"/>
      <c r="O246" s="118"/>
    </row>
    <row r="247" spans="2:15" ht="14.25" hidden="1">
      <c r="B247" s="87">
        <v>196</v>
      </c>
      <c r="C247" s="80" t="s">
        <v>319</v>
      </c>
      <c r="D247" s="80"/>
      <c r="E247" s="80"/>
      <c r="F247" s="80" t="s">
        <v>600</v>
      </c>
      <c r="G247" s="80" t="s">
        <v>601</v>
      </c>
      <c r="H247" s="84"/>
      <c r="I247" s="84">
        <v>46119</v>
      </c>
      <c r="J247" s="81"/>
      <c r="K247" s="81"/>
      <c r="L247" s="80" t="s">
        <v>31</v>
      </c>
      <c r="M247" s="80"/>
      <c r="N247" s="118"/>
      <c r="O247" s="118"/>
    </row>
    <row r="248" spans="2:15" ht="14.25" hidden="1">
      <c r="B248" s="87">
        <v>197</v>
      </c>
      <c r="C248" s="80" t="s">
        <v>589</v>
      </c>
      <c r="D248" s="80"/>
      <c r="E248" s="80"/>
      <c r="F248" s="80" t="s">
        <v>602</v>
      </c>
      <c r="G248" s="80" t="s">
        <v>74</v>
      </c>
      <c r="H248" s="84"/>
      <c r="I248" s="84">
        <v>46119</v>
      </c>
      <c r="J248" s="81"/>
      <c r="K248" s="81"/>
      <c r="L248" s="80" t="s">
        <v>31</v>
      </c>
      <c r="M248" s="80"/>
      <c r="N248" s="118"/>
      <c r="O248" s="118"/>
    </row>
    <row r="249" spans="2:15" ht="14.25" hidden="1">
      <c r="B249" s="87">
        <v>198</v>
      </c>
      <c r="C249" s="80" t="s">
        <v>589</v>
      </c>
      <c r="D249" s="80"/>
      <c r="E249" s="80" t="s">
        <v>603</v>
      </c>
      <c r="F249" s="80" t="s">
        <v>604</v>
      </c>
      <c r="G249" s="80" t="s">
        <v>59</v>
      </c>
      <c r="H249" s="84"/>
      <c r="I249" s="84">
        <v>46120</v>
      </c>
      <c r="J249" s="81"/>
      <c r="K249" s="81"/>
      <c r="L249" s="80" t="s">
        <v>31</v>
      </c>
      <c r="M249" s="80"/>
      <c r="N249" s="118"/>
      <c r="O249" s="118"/>
    </row>
    <row r="250" spans="2:15" ht="58.5" customHeight="1">
      <c r="B250" s="87">
        <v>196</v>
      </c>
      <c r="C250" s="80" t="s">
        <v>589</v>
      </c>
      <c r="D250" s="80"/>
      <c r="E250" s="80" t="s">
        <v>160</v>
      </c>
      <c r="F250" s="148" t="s">
        <v>605</v>
      </c>
      <c r="G250" s="80" t="s">
        <v>74</v>
      </c>
      <c r="H250" s="84"/>
      <c r="I250" s="84">
        <v>46121</v>
      </c>
      <c r="J250" s="81"/>
      <c r="K250" s="81"/>
      <c r="L250" s="80" t="s">
        <v>31</v>
      </c>
      <c r="M250" s="80"/>
      <c r="N250" s="118"/>
      <c r="O250" s="118"/>
    </row>
    <row r="251" spans="2:15" ht="57.75">
      <c r="B251" s="87">
        <v>199</v>
      </c>
      <c r="C251" s="80" t="s">
        <v>606</v>
      </c>
      <c r="D251" s="80"/>
      <c r="E251" s="80" t="s">
        <v>46</v>
      </c>
      <c r="F251" s="80" t="s">
        <v>607</v>
      </c>
      <c r="G251" s="80" t="s">
        <v>59</v>
      </c>
      <c r="H251" s="84"/>
      <c r="I251" s="203">
        <v>46127</v>
      </c>
      <c r="J251" s="81" t="s">
        <v>608</v>
      </c>
      <c r="K251" s="81"/>
      <c r="L251" s="80" t="s">
        <v>31</v>
      </c>
      <c r="M251" s="80" t="s">
        <v>609</v>
      </c>
      <c r="N251" s="118"/>
      <c r="O251" s="118"/>
    </row>
    <row r="252" spans="2:15" ht="28.5">
      <c r="B252" s="87">
        <v>200</v>
      </c>
      <c r="C252" s="80" t="s">
        <v>343</v>
      </c>
      <c r="D252" s="80"/>
      <c r="E252" s="80"/>
      <c r="F252" s="80" t="s">
        <v>610</v>
      </c>
      <c r="G252" s="80" t="s">
        <v>346</v>
      </c>
      <c r="H252" s="84"/>
      <c r="I252" s="81"/>
      <c r="J252" s="81"/>
      <c r="K252" s="81"/>
      <c r="L252" s="80" t="s">
        <v>484</v>
      </c>
      <c r="M252" s="80"/>
      <c r="N252" s="118"/>
      <c r="O252" s="118"/>
    </row>
    <row r="253" spans="2:15" ht="14.25" hidden="1">
      <c r="B253" s="87">
        <v>201</v>
      </c>
      <c r="C253" s="80" t="s">
        <v>589</v>
      </c>
      <c r="D253" s="80"/>
      <c r="E253" s="80"/>
      <c r="F253" s="80" t="s">
        <v>611</v>
      </c>
      <c r="G253" s="80" t="s">
        <v>66</v>
      </c>
      <c r="H253" s="84"/>
      <c r="I253" s="84">
        <v>46122</v>
      </c>
      <c r="J253" s="81"/>
      <c r="K253" s="81"/>
      <c r="L253" s="80" t="s">
        <v>31</v>
      </c>
      <c r="M253" s="80"/>
      <c r="N253" s="118"/>
      <c r="O253" s="118"/>
    </row>
    <row r="254" spans="2:15" ht="28.5">
      <c r="B254" s="87">
        <v>202</v>
      </c>
      <c r="C254" s="80" t="s">
        <v>589</v>
      </c>
      <c r="D254" s="80"/>
      <c r="E254" s="80"/>
      <c r="F254" s="80" t="s">
        <v>612</v>
      </c>
      <c r="G254" s="80" t="s">
        <v>166</v>
      </c>
      <c r="H254" s="84"/>
      <c r="I254" s="203">
        <v>46128</v>
      </c>
      <c r="J254" s="81"/>
      <c r="K254" s="81"/>
      <c r="L254" s="80" t="s">
        <v>31</v>
      </c>
      <c r="M254" s="80" t="s">
        <v>613</v>
      </c>
      <c r="N254" s="118"/>
      <c r="O254" s="118"/>
    </row>
    <row r="255" spans="2:15" ht="14.25">
      <c r="B255" s="87">
        <v>203</v>
      </c>
      <c r="C255" s="80" t="s">
        <v>335</v>
      </c>
      <c r="D255" s="80" t="s">
        <v>46</v>
      </c>
      <c r="E255" s="80" t="s">
        <v>614</v>
      </c>
      <c r="F255" s="80" t="s">
        <v>615</v>
      </c>
      <c r="G255" s="80" t="s">
        <v>59</v>
      </c>
      <c r="H255" s="84">
        <v>46120</v>
      </c>
      <c r="I255" s="203">
        <v>46126</v>
      </c>
      <c r="J255" s="81"/>
      <c r="K255" s="81"/>
      <c r="L255" s="80" t="s">
        <v>31</v>
      </c>
      <c r="M255" s="80"/>
      <c r="N255" s="118"/>
      <c r="O255" s="118"/>
    </row>
    <row r="256" spans="2:15" ht="28.5">
      <c r="B256" s="87">
        <v>204</v>
      </c>
      <c r="C256" s="80" t="s">
        <v>606</v>
      </c>
      <c r="D256" s="80"/>
      <c r="E256" s="80" t="s">
        <v>616</v>
      </c>
      <c r="F256" s="80" t="s">
        <v>617</v>
      </c>
      <c r="G256" s="80" t="s">
        <v>435</v>
      </c>
      <c r="H256" s="84"/>
      <c r="I256" s="84">
        <v>46133</v>
      </c>
      <c r="J256" s="81"/>
      <c r="K256" s="81"/>
      <c r="L256" s="80" t="s">
        <v>484</v>
      </c>
      <c r="M256" s="80"/>
      <c r="N256" s="118"/>
      <c r="O256" s="118"/>
    </row>
    <row r="257" spans="2:15" ht="28.5">
      <c r="B257" s="87">
        <v>205</v>
      </c>
      <c r="C257" s="80" t="s">
        <v>606</v>
      </c>
      <c r="D257" s="80"/>
      <c r="E257" s="80" t="s">
        <v>46</v>
      </c>
      <c r="F257" s="80" t="s">
        <v>618</v>
      </c>
      <c r="G257" s="80" t="s">
        <v>492</v>
      </c>
      <c r="H257" s="84">
        <v>46128</v>
      </c>
      <c r="I257" s="81"/>
      <c r="J257" s="81"/>
      <c r="K257" s="81"/>
      <c r="L257" s="80" t="s">
        <v>484</v>
      </c>
      <c r="M257" s="80"/>
      <c r="N257" s="118"/>
      <c r="O257" s="118"/>
    </row>
    <row r="258" spans="2:15" ht="28.5">
      <c r="B258" s="87">
        <v>206</v>
      </c>
      <c r="C258" s="80" t="s">
        <v>606</v>
      </c>
      <c r="D258" s="80"/>
      <c r="E258" s="80" t="s">
        <v>46</v>
      </c>
      <c r="F258" s="80" t="s">
        <v>619</v>
      </c>
      <c r="G258" s="80" t="s">
        <v>435</v>
      </c>
      <c r="H258" s="84">
        <v>46127</v>
      </c>
      <c r="I258" s="81"/>
      <c r="J258" s="81"/>
      <c r="K258" s="81"/>
      <c r="L258" s="80" t="s">
        <v>484</v>
      </c>
      <c r="M258" s="80"/>
      <c r="N258" s="118"/>
      <c r="O258" s="118"/>
    </row>
    <row r="259" spans="2:15" ht="28.5">
      <c r="B259" s="87">
        <v>207</v>
      </c>
      <c r="C259" s="80" t="s">
        <v>335</v>
      </c>
      <c r="D259" s="80" t="s">
        <v>46</v>
      </c>
      <c r="E259" s="80" t="s">
        <v>614</v>
      </c>
      <c r="F259" s="80" t="s">
        <v>620</v>
      </c>
      <c r="G259" s="80" t="s">
        <v>35</v>
      </c>
      <c r="H259" s="84"/>
      <c r="I259" s="84">
        <v>46132</v>
      </c>
      <c r="J259" s="81"/>
      <c r="K259" s="81"/>
      <c r="L259" s="80" t="s">
        <v>484</v>
      </c>
      <c r="M259" s="80"/>
      <c r="N259" s="118"/>
      <c r="O259" s="118"/>
    </row>
    <row r="260" spans="2:15" ht="14.25">
      <c r="B260" s="87">
        <v>208</v>
      </c>
      <c r="C260" s="80" t="s">
        <v>621</v>
      </c>
      <c r="D260" s="80"/>
      <c r="E260" s="80"/>
      <c r="F260" s="80" t="s">
        <v>622</v>
      </c>
      <c r="G260" s="80" t="s">
        <v>346</v>
      </c>
      <c r="H260" s="84"/>
      <c r="I260" s="81"/>
      <c r="J260" s="81"/>
      <c r="K260" s="81"/>
      <c r="L260" s="80"/>
      <c r="M260" s="80"/>
      <c r="N260" s="118"/>
      <c r="O260" s="118"/>
    </row>
    <row r="261" spans="2:15" ht="14.25">
      <c r="B261" s="87">
        <v>209</v>
      </c>
      <c r="C261" s="80" t="s">
        <v>335</v>
      </c>
      <c r="D261" s="80" t="s">
        <v>46</v>
      </c>
      <c r="E261" s="80" t="s">
        <v>623</v>
      </c>
      <c r="F261" s="80" t="s">
        <v>624</v>
      </c>
      <c r="G261" s="80" t="s">
        <v>59</v>
      </c>
      <c r="H261" s="84"/>
      <c r="I261" s="81"/>
      <c r="J261" s="81"/>
      <c r="K261" s="81"/>
      <c r="L261" s="80"/>
      <c r="M261" s="80"/>
      <c r="N261" s="118"/>
      <c r="O261" s="118"/>
    </row>
  </sheetData>
  <hyperlinks>
    <hyperlink ref="F129" r:id="rId1" display="https://gpohealthcom.sharepoint.com/sites/BusinessAnalytics/_layouts/15/doc.aspx?sourcedoc={7508dede-92db-43d9-9079-520c06b4acf5}&amp;action=edit" xr:uid="{E521690B-1A7B-409F-ACF6-FAE2A54ADE0B}"/>
    <hyperlink ref="M204" r:id="rId2" xr:uid="{A064FF11-1452-4E5A-B8BE-5C1494897C49}"/>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4945-3854-4E5C-A60F-2CF5AEAC9493}">
  <dimension ref="A1:Q31"/>
  <sheetViews>
    <sheetView tabSelected="1" workbookViewId="0">
      <pane ySplit="3" topLeftCell="A8" activePane="bottomLeft" state="frozen"/>
      <selection pane="bottomLeft" activeCell="E31" sqref="E31"/>
    </sheetView>
  </sheetViews>
  <sheetFormatPr defaultColWidth="9" defaultRowHeight="13.9"/>
  <cols>
    <col min="1" max="1" width="2.375" style="131" customWidth="1"/>
    <col min="2" max="2" width="7.625" style="126" customWidth="1"/>
    <col min="3" max="4" width="13.375" style="131" customWidth="1"/>
    <col min="5" max="5" width="21.375" style="135" customWidth="1"/>
    <col min="6" max="6" width="25.125" style="135" customWidth="1"/>
    <col min="7" max="7" width="16.625" style="135" customWidth="1"/>
    <col min="8" max="8" width="47.25" style="135" customWidth="1"/>
    <col min="9" max="9" width="25.5" style="131" customWidth="1"/>
    <col min="10" max="10" width="11.625" style="137" bestFit="1" customWidth="1"/>
    <col min="11" max="12" width="16.5" style="131" customWidth="1"/>
    <col min="13" max="13" width="9.5" style="131" customWidth="1"/>
    <col min="14" max="14" width="17.375" style="131" bestFit="1" customWidth="1"/>
    <col min="15" max="15" width="19.375" style="131" customWidth="1"/>
    <col min="16" max="17" width="10.625" style="131" bestFit="1" customWidth="1"/>
    <col min="18" max="16384" width="9" style="131"/>
  </cols>
  <sheetData>
    <row r="1" spans="1:17" ht="14.1">
      <c r="A1" s="118"/>
      <c r="B1" s="124"/>
      <c r="C1" s="118"/>
      <c r="D1" s="118"/>
      <c r="E1" s="80"/>
      <c r="F1" s="80"/>
      <c r="G1" s="80"/>
      <c r="H1" s="80"/>
      <c r="I1" s="118"/>
      <c r="J1" s="138"/>
      <c r="K1" s="118"/>
      <c r="L1" s="118"/>
      <c r="M1" s="118"/>
      <c r="N1" s="129" t="s">
        <v>0</v>
      </c>
      <c r="O1" s="130">
        <f ca="1">TODAY()</f>
        <v>46132</v>
      </c>
      <c r="P1" s="118"/>
      <c r="Q1" s="118"/>
    </row>
    <row r="2" spans="1:17">
      <c r="A2" s="118"/>
      <c r="B2" s="124"/>
      <c r="C2" s="118"/>
      <c r="D2" s="118"/>
      <c r="E2" s="80"/>
      <c r="F2" s="80"/>
      <c r="G2" s="80"/>
      <c r="H2" s="80"/>
      <c r="I2" s="118"/>
      <c r="J2" s="138"/>
      <c r="K2" s="118"/>
      <c r="L2" s="118"/>
      <c r="M2" s="118"/>
      <c r="N2" s="118"/>
      <c r="O2" s="118"/>
      <c r="P2" s="118"/>
      <c r="Q2" s="118"/>
    </row>
    <row r="3" spans="1:17" ht="42.4">
      <c r="A3" s="118"/>
      <c r="B3" s="152" t="s">
        <v>1</v>
      </c>
      <c r="C3" s="153" t="s">
        <v>2</v>
      </c>
      <c r="D3" s="153" t="s">
        <v>3</v>
      </c>
      <c r="E3" s="154" t="s">
        <v>625</v>
      </c>
      <c r="F3" s="154" t="s">
        <v>4</v>
      </c>
      <c r="G3" s="154" t="s">
        <v>626</v>
      </c>
      <c r="H3" s="154" t="s">
        <v>5</v>
      </c>
      <c r="I3" s="132" t="s">
        <v>627</v>
      </c>
      <c r="J3" s="139" t="s">
        <v>628</v>
      </c>
      <c r="K3" s="132" t="s">
        <v>8</v>
      </c>
      <c r="L3" s="132" t="s">
        <v>6</v>
      </c>
      <c r="M3" s="132" t="s">
        <v>9</v>
      </c>
      <c r="N3" s="132" t="s">
        <v>11</v>
      </c>
      <c r="O3" s="132" t="s">
        <v>12</v>
      </c>
      <c r="P3" s="133" t="s">
        <v>13</v>
      </c>
      <c r="Q3" s="134" t="s">
        <v>14</v>
      </c>
    </row>
    <row r="4" spans="1:17" ht="24.6" hidden="1">
      <c r="B4" s="155">
        <v>1</v>
      </c>
      <c r="C4" s="156" t="s">
        <v>26</v>
      </c>
      <c r="D4" s="156" t="s">
        <v>46</v>
      </c>
      <c r="E4" s="157" t="s">
        <v>629</v>
      </c>
      <c r="F4" s="158" t="s">
        <v>630</v>
      </c>
      <c r="G4" s="158" t="s">
        <v>319</v>
      </c>
      <c r="H4" s="158" t="s">
        <v>631</v>
      </c>
      <c r="I4" s="136" t="s">
        <v>632</v>
      </c>
      <c r="J4" s="137">
        <v>45912</v>
      </c>
      <c r="K4" s="131" t="s">
        <v>63</v>
      </c>
      <c r="N4" s="131" t="s">
        <v>31</v>
      </c>
    </row>
    <row r="5" spans="1:17" s="165" customFormat="1" ht="82.9" hidden="1">
      <c r="B5" s="166">
        <v>1</v>
      </c>
      <c r="C5" s="167" t="s">
        <v>633</v>
      </c>
      <c r="D5" s="167" t="s">
        <v>46</v>
      </c>
      <c r="E5" s="167"/>
      <c r="F5" s="167" t="s">
        <v>630</v>
      </c>
      <c r="G5" s="167" t="s">
        <v>319</v>
      </c>
      <c r="H5" s="168" t="s">
        <v>634</v>
      </c>
      <c r="I5" s="169" t="s">
        <v>635</v>
      </c>
      <c r="J5" s="170">
        <v>45941</v>
      </c>
      <c r="K5" s="170">
        <v>46056</v>
      </c>
      <c r="L5" s="165" t="s">
        <v>636</v>
      </c>
      <c r="M5" s="165">
        <v>2</v>
      </c>
      <c r="N5" s="165" t="s">
        <v>31</v>
      </c>
      <c r="O5" s="171" t="s">
        <v>637</v>
      </c>
    </row>
    <row r="6" spans="1:17" s="165" customFormat="1" ht="49.15" hidden="1">
      <c r="B6" s="166">
        <v>2</v>
      </c>
      <c r="C6" s="167" t="s">
        <v>26</v>
      </c>
      <c r="D6" s="167" t="s">
        <v>46</v>
      </c>
      <c r="E6" s="167" t="s">
        <v>638</v>
      </c>
      <c r="F6" s="167" t="s">
        <v>630</v>
      </c>
      <c r="G6" s="167" t="s">
        <v>319</v>
      </c>
      <c r="H6" s="168" t="s">
        <v>639</v>
      </c>
      <c r="I6" s="169" t="s">
        <v>635</v>
      </c>
      <c r="J6" s="170">
        <v>45942</v>
      </c>
      <c r="K6" s="170">
        <v>46056</v>
      </c>
      <c r="L6" s="165" t="s">
        <v>636</v>
      </c>
      <c r="M6" s="165">
        <v>2</v>
      </c>
      <c r="N6" s="165" t="s">
        <v>31</v>
      </c>
    </row>
    <row r="7" spans="1:17" ht="36.950000000000003" hidden="1">
      <c r="B7" s="155">
        <v>3</v>
      </c>
      <c r="C7" s="158" t="s">
        <v>26</v>
      </c>
      <c r="D7" s="158" t="s">
        <v>46</v>
      </c>
      <c r="E7" s="158" t="s">
        <v>638</v>
      </c>
      <c r="F7" s="158" t="s">
        <v>640</v>
      </c>
      <c r="G7" s="158" t="s">
        <v>319</v>
      </c>
      <c r="H7" s="158" t="s">
        <v>641</v>
      </c>
      <c r="J7" s="140">
        <v>45943</v>
      </c>
      <c r="K7" s="140">
        <v>45968</v>
      </c>
      <c r="M7" s="131">
        <v>1</v>
      </c>
      <c r="N7" s="131" t="s">
        <v>31</v>
      </c>
      <c r="O7" s="131" t="s">
        <v>642</v>
      </c>
    </row>
    <row r="8" spans="1:17" s="165" customFormat="1" ht="49.15">
      <c r="B8" s="166">
        <v>3</v>
      </c>
      <c r="C8" s="167" t="s">
        <v>26</v>
      </c>
      <c r="D8" s="167" t="s">
        <v>46</v>
      </c>
      <c r="E8" s="167" t="s">
        <v>629</v>
      </c>
      <c r="F8" s="167" t="s">
        <v>643</v>
      </c>
      <c r="G8" s="167" t="s">
        <v>319</v>
      </c>
      <c r="H8" s="172" t="s">
        <v>644</v>
      </c>
      <c r="J8" s="170">
        <v>45958</v>
      </c>
      <c r="K8" s="170">
        <v>46056</v>
      </c>
      <c r="M8" s="165">
        <v>1</v>
      </c>
      <c r="N8" s="165" t="s">
        <v>21</v>
      </c>
      <c r="O8" s="165" t="s">
        <v>645</v>
      </c>
    </row>
    <row r="9" spans="1:17" ht="24.6" hidden="1">
      <c r="B9" s="155">
        <v>4</v>
      </c>
      <c r="C9" s="158" t="s">
        <v>26</v>
      </c>
      <c r="D9" s="158" t="s">
        <v>46</v>
      </c>
      <c r="E9" s="158" t="s">
        <v>646</v>
      </c>
      <c r="F9" s="158" t="s">
        <v>647</v>
      </c>
      <c r="G9" s="158" t="s">
        <v>319</v>
      </c>
      <c r="H9" s="158" t="s">
        <v>648</v>
      </c>
      <c r="I9" s="136" t="s">
        <v>649</v>
      </c>
      <c r="J9" s="140">
        <v>45971</v>
      </c>
      <c r="K9" s="140"/>
      <c r="L9" s="131" t="s">
        <v>636</v>
      </c>
      <c r="M9" s="131">
        <v>2</v>
      </c>
      <c r="N9" s="131" t="s">
        <v>459</v>
      </c>
    </row>
    <row r="10" spans="1:17" ht="54" hidden="1" customHeight="1">
      <c r="B10" s="155">
        <v>4</v>
      </c>
      <c r="C10" s="158" t="s">
        <v>26</v>
      </c>
      <c r="D10" s="158" t="s">
        <v>46</v>
      </c>
      <c r="E10" s="158" t="s">
        <v>629</v>
      </c>
      <c r="F10" s="158" t="s">
        <v>650</v>
      </c>
      <c r="G10" s="158" t="s">
        <v>651</v>
      </c>
      <c r="H10" s="158" t="s">
        <v>652</v>
      </c>
      <c r="J10" s="140"/>
      <c r="K10" s="140">
        <v>45968</v>
      </c>
      <c r="M10" s="131">
        <v>1</v>
      </c>
      <c r="N10" s="131" t="s">
        <v>31</v>
      </c>
      <c r="O10" s="131" t="s">
        <v>653</v>
      </c>
    </row>
    <row r="11" spans="1:17" ht="49.5" hidden="1" customHeight="1">
      <c r="B11" s="155">
        <v>5</v>
      </c>
      <c r="C11" s="158" t="s">
        <v>26</v>
      </c>
      <c r="D11" s="158" t="s">
        <v>46</v>
      </c>
      <c r="E11" s="158" t="s">
        <v>629</v>
      </c>
      <c r="F11" s="158" t="s">
        <v>654</v>
      </c>
      <c r="G11" s="158" t="s">
        <v>655</v>
      </c>
      <c r="H11" s="158" t="s">
        <v>656</v>
      </c>
      <c r="I11" s="131" t="s">
        <v>657</v>
      </c>
      <c r="J11" s="140"/>
      <c r="K11" s="135"/>
      <c r="M11" s="131">
        <v>3</v>
      </c>
      <c r="N11" s="131" t="s">
        <v>658</v>
      </c>
    </row>
    <row r="12" spans="1:17" ht="96.6" hidden="1">
      <c r="B12" s="155">
        <v>5</v>
      </c>
      <c r="C12" s="158" t="s">
        <v>26</v>
      </c>
      <c r="D12" s="158" t="s">
        <v>46</v>
      </c>
      <c r="E12" s="158" t="s">
        <v>629</v>
      </c>
      <c r="F12" s="158" t="s">
        <v>659</v>
      </c>
      <c r="G12" s="158" t="s">
        <v>660</v>
      </c>
      <c r="H12" s="158" t="s">
        <v>661</v>
      </c>
      <c r="I12" s="147" t="s">
        <v>662</v>
      </c>
      <c r="J12" s="140"/>
      <c r="K12" s="135"/>
      <c r="L12" s="131" t="s">
        <v>663</v>
      </c>
      <c r="M12" s="131">
        <v>2</v>
      </c>
      <c r="N12" s="131" t="s">
        <v>664</v>
      </c>
      <c r="O12" s="135" t="s">
        <v>665</v>
      </c>
    </row>
    <row r="13" spans="1:17" s="165" customFormat="1" ht="54" customHeight="1">
      <c r="B13" s="166">
        <v>6</v>
      </c>
      <c r="C13" s="167" t="s">
        <v>26</v>
      </c>
      <c r="D13" s="167" t="s">
        <v>46</v>
      </c>
      <c r="E13" s="167" t="s">
        <v>629</v>
      </c>
      <c r="F13" s="167" t="s">
        <v>666</v>
      </c>
      <c r="G13" s="167" t="s">
        <v>655</v>
      </c>
      <c r="H13" s="172" t="s">
        <v>667</v>
      </c>
      <c r="I13" s="173" t="s">
        <v>668</v>
      </c>
      <c r="J13" s="170"/>
      <c r="K13" s="170">
        <v>46056</v>
      </c>
      <c r="N13" s="165" t="s">
        <v>21</v>
      </c>
      <c r="O13" s="165" t="s">
        <v>669</v>
      </c>
    </row>
    <row r="14" spans="1:17" ht="24.6" hidden="1">
      <c r="B14" s="155">
        <v>8</v>
      </c>
      <c r="C14" s="158" t="s">
        <v>26</v>
      </c>
      <c r="D14" s="158" t="s">
        <v>46</v>
      </c>
      <c r="E14" s="158" t="s">
        <v>629</v>
      </c>
      <c r="F14" s="158" t="s">
        <v>670</v>
      </c>
      <c r="G14" s="158" t="s">
        <v>671</v>
      </c>
      <c r="H14" s="158" t="s">
        <v>672</v>
      </c>
      <c r="I14" s="131" t="s">
        <v>673</v>
      </c>
      <c r="J14" s="140"/>
      <c r="K14" s="135" t="s">
        <v>63</v>
      </c>
      <c r="N14" s="161" t="s">
        <v>31</v>
      </c>
    </row>
    <row r="15" spans="1:17" ht="36.950000000000003" hidden="1">
      <c r="B15" s="155">
        <v>9</v>
      </c>
      <c r="C15" s="158" t="s">
        <v>26</v>
      </c>
      <c r="D15" s="158" t="s">
        <v>46</v>
      </c>
      <c r="E15" s="158" t="s">
        <v>629</v>
      </c>
      <c r="F15" s="158" t="s">
        <v>674</v>
      </c>
      <c r="G15" s="158" t="s">
        <v>671</v>
      </c>
      <c r="H15" s="158" t="s">
        <v>675</v>
      </c>
      <c r="I15" s="131" t="s">
        <v>676</v>
      </c>
      <c r="J15" s="140">
        <v>45869</v>
      </c>
      <c r="K15" s="135"/>
      <c r="M15" s="131" t="s">
        <v>677</v>
      </c>
      <c r="N15" s="161" t="s">
        <v>31</v>
      </c>
    </row>
    <row r="16" spans="1:17" ht="24.6" hidden="1">
      <c r="B16" s="155">
        <v>7</v>
      </c>
      <c r="C16" s="158" t="s">
        <v>26</v>
      </c>
      <c r="D16" s="158" t="s">
        <v>46</v>
      </c>
      <c r="E16" s="158" t="s">
        <v>629</v>
      </c>
      <c r="F16" s="158" t="s">
        <v>678</v>
      </c>
      <c r="G16" s="158"/>
      <c r="H16" s="158" t="s">
        <v>631</v>
      </c>
      <c r="J16" s="140">
        <v>45916</v>
      </c>
      <c r="K16" s="135" t="s">
        <v>63</v>
      </c>
      <c r="M16" s="131" t="s">
        <v>677</v>
      </c>
      <c r="N16" s="161" t="s">
        <v>31</v>
      </c>
      <c r="O16" s="131" t="s">
        <v>679</v>
      </c>
    </row>
    <row r="17" spans="2:15" ht="49.5" hidden="1" customHeight="1">
      <c r="B17" s="155">
        <v>11</v>
      </c>
      <c r="C17" s="158" t="s">
        <v>26</v>
      </c>
      <c r="D17" s="158" t="s">
        <v>46</v>
      </c>
      <c r="E17" s="158" t="s">
        <v>629</v>
      </c>
      <c r="F17" s="158" t="s">
        <v>680</v>
      </c>
      <c r="G17" s="158"/>
      <c r="H17" s="158" t="s">
        <v>681</v>
      </c>
      <c r="I17" s="131" t="s">
        <v>682</v>
      </c>
      <c r="J17" s="140">
        <v>45912</v>
      </c>
      <c r="K17" s="140">
        <v>45968</v>
      </c>
      <c r="M17" s="131">
        <v>1</v>
      </c>
      <c r="N17" s="131" t="s">
        <v>31</v>
      </c>
      <c r="O17" s="131" t="s">
        <v>683</v>
      </c>
    </row>
    <row r="18" spans="2:15" ht="61.5">
      <c r="B18" s="155">
        <v>8</v>
      </c>
      <c r="C18" s="158" t="s">
        <v>633</v>
      </c>
      <c r="D18" s="158" t="s">
        <v>46</v>
      </c>
      <c r="E18" s="158" t="s">
        <v>684</v>
      </c>
      <c r="F18" s="158" t="s">
        <v>685</v>
      </c>
      <c r="G18" s="158"/>
      <c r="H18" s="158" t="s">
        <v>686</v>
      </c>
      <c r="I18" s="160" t="s">
        <v>687</v>
      </c>
      <c r="J18" s="140">
        <v>45869</v>
      </c>
      <c r="K18" s="135" t="s">
        <v>63</v>
      </c>
      <c r="L18" s="131" t="s">
        <v>74</v>
      </c>
      <c r="M18" s="131">
        <v>4</v>
      </c>
    </row>
    <row r="19" spans="2:15" ht="24.6" hidden="1">
      <c r="B19" s="155">
        <v>13</v>
      </c>
      <c r="C19" s="158" t="s">
        <v>26</v>
      </c>
      <c r="D19" s="158" t="s">
        <v>46</v>
      </c>
      <c r="E19" s="158" t="s">
        <v>688</v>
      </c>
      <c r="F19" s="158" t="s">
        <v>689</v>
      </c>
      <c r="G19" s="158"/>
      <c r="H19" s="158" t="s">
        <v>690</v>
      </c>
      <c r="I19" s="131" t="s">
        <v>691</v>
      </c>
      <c r="J19" s="140"/>
      <c r="K19" s="135"/>
      <c r="N19" s="131" t="s">
        <v>31</v>
      </c>
    </row>
    <row r="20" spans="2:15" ht="61.5" hidden="1">
      <c r="B20" s="155">
        <v>9</v>
      </c>
      <c r="C20" s="158" t="s">
        <v>633</v>
      </c>
      <c r="D20" s="158" t="s">
        <v>46</v>
      </c>
      <c r="E20" s="158" t="s">
        <v>688</v>
      </c>
      <c r="F20" s="158" t="s">
        <v>692</v>
      </c>
      <c r="G20" s="158"/>
      <c r="H20" s="158" t="s">
        <v>693</v>
      </c>
      <c r="I20" s="131" t="s">
        <v>691</v>
      </c>
      <c r="J20" s="140"/>
      <c r="K20" s="135"/>
      <c r="L20" s="131" t="s">
        <v>694</v>
      </c>
      <c r="M20" s="131">
        <v>4</v>
      </c>
      <c r="N20" s="131" t="s">
        <v>459</v>
      </c>
    </row>
    <row r="21" spans="2:15" ht="36.950000000000003">
      <c r="B21" s="155">
        <v>10</v>
      </c>
      <c r="C21" s="158" t="s">
        <v>633</v>
      </c>
      <c r="D21" s="158" t="s">
        <v>46</v>
      </c>
      <c r="E21" s="158" t="s">
        <v>688</v>
      </c>
      <c r="F21" s="158" t="s">
        <v>695</v>
      </c>
      <c r="G21" s="158"/>
      <c r="H21" s="158" t="s">
        <v>696</v>
      </c>
      <c r="I21" s="131" t="s">
        <v>691</v>
      </c>
      <c r="J21" s="140"/>
      <c r="K21" s="135"/>
      <c r="M21" s="131">
        <v>4</v>
      </c>
    </row>
    <row r="22" spans="2:15" ht="27" hidden="1" customHeight="1">
      <c r="B22" s="155">
        <v>16</v>
      </c>
      <c r="C22" s="158" t="s">
        <v>26</v>
      </c>
      <c r="D22" s="158" t="s">
        <v>46</v>
      </c>
      <c r="E22" s="158" t="s">
        <v>638</v>
      </c>
      <c r="F22" s="158" t="s">
        <v>697</v>
      </c>
      <c r="G22" s="158"/>
      <c r="H22" s="158" t="s">
        <v>698</v>
      </c>
      <c r="K22" s="140">
        <v>45968</v>
      </c>
      <c r="M22" s="131">
        <v>1</v>
      </c>
      <c r="N22" s="131" t="s">
        <v>31</v>
      </c>
      <c r="O22" s="131" t="s">
        <v>699</v>
      </c>
    </row>
    <row r="23" spans="2:15" ht="22.5" hidden="1" customHeight="1">
      <c r="B23" s="155">
        <v>11</v>
      </c>
      <c r="C23" s="158" t="s">
        <v>26</v>
      </c>
      <c r="D23" s="158" t="s">
        <v>46</v>
      </c>
      <c r="E23" s="158" t="s">
        <v>700</v>
      </c>
      <c r="F23" s="158" t="s">
        <v>654</v>
      </c>
      <c r="G23" s="158"/>
      <c r="H23" s="158" t="s">
        <v>701</v>
      </c>
      <c r="I23" s="136" t="s">
        <v>702</v>
      </c>
      <c r="K23" s="140">
        <v>45969</v>
      </c>
      <c r="M23" s="131">
        <v>2</v>
      </c>
      <c r="O23" s="131" t="s">
        <v>658</v>
      </c>
    </row>
    <row r="24" spans="2:15" ht="38.65" hidden="1">
      <c r="B24" s="155">
        <v>12</v>
      </c>
      <c r="C24" s="158" t="s">
        <v>26</v>
      </c>
      <c r="D24" s="158" t="s">
        <v>46</v>
      </c>
      <c r="E24" s="158" t="s">
        <v>700</v>
      </c>
      <c r="F24" s="158" t="s">
        <v>680</v>
      </c>
      <c r="G24" s="158"/>
      <c r="H24" s="159" t="s">
        <v>703</v>
      </c>
      <c r="I24" s="136" t="s">
        <v>702</v>
      </c>
      <c r="J24" s="140"/>
      <c r="K24" s="140"/>
      <c r="M24" s="131">
        <v>1</v>
      </c>
      <c r="N24" s="131" t="s">
        <v>459</v>
      </c>
      <c r="O24" s="131" t="s">
        <v>683</v>
      </c>
    </row>
    <row r="25" spans="2:15" hidden="1">
      <c r="B25" s="155">
        <v>13</v>
      </c>
      <c r="C25" s="158" t="s">
        <v>26</v>
      </c>
      <c r="D25" s="158" t="s">
        <v>46</v>
      </c>
      <c r="E25" s="158" t="s">
        <v>700</v>
      </c>
      <c r="F25" s="158" t="s">
        <v>704</v>
      </c>
      <c r="G25" s="158"/>
      <c r="H25" s="159" t="s">
        <v>705</v>
      </c>
      <c r="I25" s="127" t="s">
        <v>706</v>
      </c>
      <c r="J25" s="140"/>
      <c r="K25" s="140"/>
      <c r="M25" s="131">
        <v>2</v>
      </c>
      <c r="O25" s="131" t="s">
        <v>31</v>
      </c>
    </row>
    <row r="26" spans="2:15" ht="14.45" hidden="1">
      <c r="B26" s="155">
        <v>14</v>
      </c>
      <c r="C26" s="158" t="s">
        <v>26</v>
      </c>
      <c r="D26" s="158" t="s">
        <v>46</v>
      </c>
      <c r="E26" s="158" t="s">
        <v>700</v>
      </c>
      <c r="F26" s="158" t="s">
        <v>707</v>
      </c>
      <c r="G26" s="158"/>
      <c r="H26" s="162" t="s">
        <v>708</v>
      </c>
      <c r="I26" s="136"/>
      <c r="J26" s="140"/>
      <c r="K26" s="140"/>
      <c r="M26" s="131">
        <v>2</v>
      </c>
      <c r="O26" s="131" t="s">
        <v>658</v>
      </c>
    </row>
    <row r="27" spans="2:15" ht="25.9" hidden="1">
      <c r="B27" s="155">
        <v>15</v>
      </c>
      <c r="C27" s="158" t="s">
        <v>26</v>
      </c>
      <c r="D27" s="158" t="s">
        <v>46</v>
      </c>
      <c r="E27" s="158" t="s">
        <v>700</v>
      </c>
      <c r="F27" s="158" t="s">
        <v>709</v>
      </c>
      <c r="G27" s="158"/>
      <c r="H27" s="159" t="s">
        <v>710</v>
      </c>
      <c r="I27" s="127" t="s">
        <v>668</v>
      </c>
      <c r="J27" s="140"/>
      <c r="K27" s="140"/>
      <c r="M27" s="131">
        <v>2</v>
      </c>
      <c r="N27" s="131" t="s">
        <v>31</v>
      </c>
    </row>
    <row r="28" spans="2:15">
      <c r="B28" s="155">
        <v>16</v>
      </c>
      <c r="C28" s="158" t="s">
        <v>26</v>
      </c>
      <c r="D28" s="158" t="s">
        <v>46</v>
      </c>
      <c r="E28" s="158" t="s">
        <v>319</v>
      </c>
      <c r="F28" s="158" t="s">
        <v>711</v>
      </c>
      <c r="G28" s="158"/>
      <c r="H28" s="158" t="s">
        <v>712</v>
      </c>
      <c r="J28" s="140"/>
    </row>
    <row r="29" spans="2:15" s="165" customFormat="1" hidden="1">
      <c r="B29" s="166"/>
      <c r="C29" s="167"/>
      <c r="D29" s="167"/>
      <c r="E29" s="167"/>
      <c r="F29" s="174" t="s">
        <v>633</v>
      </c>
      <c r="G29" s="167"/>
      <c r="H29" s="167" t="s">
        <v>713</v>
      </c>
      <c r="J29" s="170"/>
      <c r="K29" s="170">
        <v>46056</v>
      </c>
      <c r="N29" s="165" t="s">
        <v>31</v>
      </c>
    </row>
    <row r="30" spans="2:15">
      <c r="I30" s="135"/>
      <c r="J30" s="135"/>
    </row>
    <row r="31" spans="2:15">
      <c r="I31" s="135"/>
      <c r="J31" s="135"/>
    </row>
  </sheetData>
  <hyperlinks>
    <hyperlink ref="I4" r:id="rId1" xr:uid="{1A24973F-3B0D-4AFE-A271-D4C4975CE072}"/>
    <hyperlink ref="I11" r:id="rId2" display="https://gpohealthcom.sharepoint.com/:w:/r/sites/BusinessAnalytics/_layouts/15/Doc.aspx?sourcedoc=%7BADC221FB-9F95-4AD2-A249-487443A12801%7D&amp;file=New%20match%20number%20feedback.docx&amp;action=default&amp;mobileredirect=true" xr:uid="{DDA1761B-5501-449A-B4C5-11A345AA7CCC}"/>
    <hyperlink ref="I15" r:id="rId3" display="https://gpohealthcom.sharepoint.com/:w:/r/sites/BusinessAnalytics/_layouts/15/Doc.aspx?sourcedoc=%7BA1A2B2DC-A06C-4C24-B29C-2BBD154844B0%7D&amp;file=UCI%20data_check.docx&amp;action=default&amp;mobileredirect=true" xr:uid="{62D4C4CB-0225-4A03-8F29-AE0B8B4603CF}"/>
    <hyperlink ref="I18" r:id="rId4" display="https://gpohealthcom.sharepoint.com/:w:/r/sites/BusinessAnalytics/_layouts/15/Doc.aspx?sourcedoc=%7BA1A2B2DC-A06C-4C24-B29C-2BBD154844B0%7D&amp;file=UCI%20data_check.docx&amp;action=default&amp;mobileredirect=true" xr:uid="{53169645-DC53-4646-8903-41737333A83C}"/>
    <hyperlink ref="I12" r:id="rId5" display="https://gpohealthcom.sharepoint.com/:w:/r/sites/BusinessAnalytics/_layouts/15/Doc.aspx?sourcedoc=%7BADC221FB-9F95-4AD2-A249-487443A12801%7D&amp;file=New%20match%20number%20feedback.docx&amp;action=default&amp;mobileredirect=true" xr:uid="{EFB1168F-06A5-49B9-BD20-F733EEE372CA}"/>
    <hyperlink ref="I19" r:id="rId6" xr:uid="{7AC63E22-6E51-4F9B-9360-F5F19940D9C6}"/>
    <hyperlink ref="I20" r:id="rId7" xr:uid="{038CD796-E7F9-43C5-B10B-343BAC02D70E}"/>
    <hyperlink ref="I21" r:id="rId8" xr:uid="{1B675BED-7165-4E45-ABB0-1AF238E17286}"/>
    <hyperlink ref="I9" r:id="rId9" xr:uid="{A6DEEC50-0B7A-48CB-84A7-6CE53F99FE34}"/>
    <hyperlink ref="I5" r:id="rId10" xr:uid="{B4A0EAA6-3736-4611-A890-75EE633A660E}"/>
    <hyperlink ref="I6" r:id="rId11" xr:uid="{4F4EB844-999B-47E5-9F24-36B4524DD8BC}"/>
    <hyperlink ref="I23" r:id="rId12" xr:uid="{DA7062E3-4471-4DEB-A9E1-14A5744C9FE1}"/>
    <hyperlink ref="I24" r:id="rId13" xr:uid="{D7C6A16E-FFCB-44AE-8411-C9E319443FC7}"/>
    <hyperlink ref="I25" r:id="rId14" xr:uid="{3C11CFEE-7EBB-45FB-8452-8D2646816857}"/>
    <hyperlink ref="I13" r:id="rId15" xr:uid="{AAE0A153-88F9-48B3-BFF2-935D2AC84FA8}"/>
    <hyperlink ref="I27" r:id="rId16" xr:uid="{356D7FE8-7375-4264-8F31-F72421BE390C}"/>
  </hyperlinks>
  <pageMargins left="0.7" right="0.7" top="0.75" bottom="0.75" header="0.3" footer="0.3"/>
  <tableParts count="1">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91F8-0394-41A5-ACDB-8FC129CF4B95}">
  <dimension ref="A1:P11"/>
  <sheetViews>
    <sheetView zoomScale="80" zoomScaleNormal="80" workbookViewId="0">
      <pane ySplit="3" topLeftCell="A5" activePane="bottomLeft" state="frozen"/>
      <selection pane="bottomLeft" activeCell="A9" sqref="A9"/>
    </sheetView>
  </sheetViews>
  <sheetFormatPr defaultColWidth="8.875" defaultRowHeight="14.25" customHeight="1"/>
  <cols>
    <col min="1" max="1" width="2.375" customWidth="1"/>
    <col min="2" max="2" width="7.625" style="126" customWidth="1"/>
    <col min="3" max="3" width="13.375" customWidth="1"/>
    <col min="4" max="4" width="15.375" customWidth="1"/>
    <col min="5" max="5" width="20.875" style="120" customWidth="1"/>
    <col min="6" max="6" width="25.125" style="178" customWidth="1"/>
    <col min="7" max="7" width="62.75" style="120" customWidth="1"/>
    <col min="8" max="8" width="25.5" customWidth="1"/>
    <col min="9" max="9" width="11.625" bestFit="1" customWidth="1"/>
    <col min="10" max="11" width="16.5" customWidth="1"/>
    <col min="12" max="12" width="15.125" customWidth="1"/>
    <col min="13" max="13" width="17.375" bestFit="1" customWidth="1"/>
    <col min="14" max="14" width="19.375" customWidth="1"/>
    <col min="15" max="16" width="10.625" bestFit="1" customWidth="1"/>
  </cols>
  <sheetData>
    <row r="1" spans="1:16" ht="14.1">
      <c r="A1" s="77"/>
      <c r="B1" s="124"/>
      <c r="C1" s="77"/>
      <c r="D1" s="77"/>
      <c r="E1" s="109"/>
      <c r="F1" s="177"/>
      <c r="G1" s="109"/>
      <c r="H1" s="77"/>
      <c r="I1" s="77"/>
      <c r="J1" s="77"/>
      <c r="K1" s="77"/>
      <c r="L1" s="77"/>
      <c r="M1" s="78" t="s">
        <v>0</v>
      </c>
      <c r="N1" s="79">
        <f ca="1">TODAY()</f>
        <v>46132</v>
      </c>
      <c r="O1" s="77"/>
      <c r="P1" s="77"/>
    </row>
    <row r="2" spans="1:16" ht="14.1">
      <c r="A2" s="77"/>
      <c r="B2" s="124"/>
      <c r="C2" s="77"/>
      <c r="D2" s="77"/>
      <c r="E2" s="109"/>
      <c r="F2" s="177"/>
      <c r="G2" s="109"/>
      <c r="H2" s="77"/>
      <c r="I2" s="77"/>
      <c r="J2" s="77"/>
      <c r="K2" s="77"/>
      <c r="L2" s="77"/>
      <c r="M2" s="77"/>
      <c r="N2" s="77"/>
      <c r="O2" s="77"/>
      <c r="P2" s="77"/>
    </row>
    <row r="3" spans="1:16" ht="42.4">
      <c r="A3" s="83"/>
      <c r="B3" s="125" t="s">
        <v>1</v>
      </c>
      <c r="C3" s="121" t="s">
        <v>2</v>
      </c>
      <c r="D3" s="121" t="s">
        <v>3</v>
      </c>
      <c r="E3" s="122" t="s">
        <v>625</v>
      </c>
      <c r="F3" s="122" t="s">
        <v>4</v>
      </c>
      <c r="G3" s="122" t="s">
        <v>5</v>
      </c>
      <c r="H3" s="121" t="s">
        <v>627</v>
      </c>
      <c r="I3" s="122" t="s">
        <v>628</v>
      </c>
      <c r="J3" s="186" t="s">
        <v>8</v>
      </c>
      <c r="K3" s="121" t="s">
        <v>6</v>
      </c>
      <c r="L3" s="185" t="s">
        <v>9</v>
      </c>
      <c r="M3" s="186" t="s">
        <v>11</v>
      </c>
      <c r="N3" s="121" t="s">
        <v>12</v>
      </c>
      <c r="O3" s="122" t="s">
        <v>13</v>
      </c>
      <c r="P3" s="123" t="s">
        <v>14</v>
      </c>
    </row>
    <row r="4" spans="1:16" ht="69.75" hidden="1" customHeight="1">
      <c r="B4" s="126">
        <v>1</v>
      </c>
      <c r="C4" s="144" t="s">
        <v>26</v>
      </c>
      <c r="D4" s="144" t="s">
        <v>570</v>
      </c>
      <c r="E4" s="145"/>
      <c r="F4" s="178" t="s">
        <v>714</v>
      </c>
      <c r="G4" s="120" t="s">
        <v>715</v>
      </c>
      <c r="H4" s="127" t="s">
        <v>716</v>
      </c>
      <c r="I4" s="128">
        <v>46063</v>
      </c>
      <c r="J4" s="128">
        <v>46070</v>
      </c>
      <c r="K4" t="s">
        <v>717</v>
      </c>
      <c r="L4">
        <v>1</v>
      </c>
      <c r="M4" t="s">
        <v>31</v>
      </c>
      <c r="N4" s="120" t="s">
        <v>718</v>
      </c>
    </row>
    <row r="5" spans="1:16" ht="70.5">
      <c r="B5" s="126">
        <v>2</v>
      </c>
      <c r="C5" t="s">
        <v>26</v>
      </c>
      <c r="D5" t="s">
        <v>570</v>
      </c>
      <c r="F5" s="178" t="s">
        <v>719</v>
      </c>
      <c r="G5" s="187" t="s">
        <v>720</v>
      </c>
      <c r="H5" s="127" t="s">
        <v>716</v>
      </c>
      <c r="I5" s="128">
        <v>46009</v>
      </c>
      <c r="J5" s="196" t="s">
        <v>721</v>
      </c>
      <c r="K5" t="s">
        <v>717</v>
      </c>
      <c r="L5" s="194">
        <v>2</v>
      </c>
      <c r="M5" s="120"/>
      <c r="N5" s="120"/>
      <c r="O5" s="120"/>
      <c r="P5" s="120"/>
    </row>
    <row r="6" spans="1:16" ht="149.25" customHeight="1">
      <c r="B6" s="126">
        <v>3</v>
      </c>
      <c r="C6" t="s">
        <v>26</v>
      </c>
      <c r="D6" t="s">
        <v>570</v>
      </c>
      <c r="E6" s="145"/>
      <c r="F6" s="179" t="s">
        <v>722</v>
      </c>
      <c r="G6" s="176" t="s">
        <v>723</v>
      </c>
      <c r="H6" s="127" t="s">
        <v>724</v>
      </c>
      <c r="I6" s="128">
        <v>45959</v>
      </c>
      <c r="K6" t="s">
        <v>717</v>
      </c>
      <c r="L6" s="120" t="s">
        <v>725</v>
      </c>
    </row>
    <row r="7" spans="1:16" ht="31.15" hidden="1">
      <c r="B7" s="126">
        <v>4</v>
      </c>
      <c r="C7" t="s">
        <v>26</v>
      </c>
      <c r="D7" t="s">
        <v>570</v>
      </c>
      <c r="F7" s="179" t="s">
        <v>726</v>
      </c>
      <c r="G7" s="176" t="s">
        <v>727</v>
      </c>
      <c r="H7" t="s">
        <v>728</v>
      </c>
      <c r="I7" s="128">
        <v>46017</v>
      </c>
      <c r="J7" s="181"/>
      <c r="K7" t="s">
        <v>717</v>
      </c>
      <c r="L7" s="181"/>
      <c r="M7" s="182" t="s">
        <v>31</v>
      </c>
      <c r="N7" s="120"/>
      <c r="O7" s="120"/>
      <c r="P7" s="120"/>
    </row>
    <row r="8" spans="1:16" ht="97.9" customHeight="1">
      <c r="B8" s="126">
        <v>5</v>
      </c>
      <c r="C8" s="180" t="s">
        <v>729</v>
      </c>
      <c r="D8" t="s">
        <v>570</v>
      </c>
      <c r="E8" s="145"/>
      <c r="F8" s="175" t="s">
        <v>730</v>
      </c>
      <c r="G8" s="176" t="s">
        <v>731</v>
      </c>
      <c r="H8" t="s">
        <v>728</v>
      </c>
      <c r="I8" s="128">
        <v>46017</v>
      </c>
      <c r="K8" t="s">
        <v>717</v>
      </c>
      <c r="L8" s="120" t="s">
        <v>732</v>
      </c>
    </row>
    <row r="9" spans="1:16" ht="28.15">
      <c r="B9" s="126">
        <v>6</v>
      </c>
      <c r="C9" t="s">
        <v>26</v>
      </c>
      <c r="D9" t="s">
        <v>570</v>
      </c>
      <c r="E9" s="197" t="s">
        <v>571</v>
      </c>
      <c r="F9" s="198" t="s">
        <v>733</v>
      </c>
      <c r="H9" t="s">
        <v>573</v>
      </c>
      <c r="I9" s="128">
        <v>46079</v>
      </c>
      <c r="L9" s="194" t="s">
        <v>734</v>
      </c>
    </row>
    <row r="10" spans="1:16" ht="28.15">
      <c r="B10" s="126">
        <v>7</v>
      </c>
      <c r="C10" t="s">
        <v>26</v>
      </c>
      <c r="D10" t="s">
        <v>570</v>
      </c>
      <c r="E10" s="120" t="s">
        <v>571</v>
      </c>
      <c r="F10" s="178" t="s">
        <v>735</v>
      </c>
      <c r="H10" t="s">
        <v>573</v>
      </c>
      <c r="I10" s="128">
        <v>46079</v>
      </c>
    </row>
    <row r="11" spans="1:16" ht="14.1">
      <c r="B11" s="126">
        <v>8</v>
      </c>
      <c r="I11" s="128"/>
    </row>
  </sheetData>
  <hyperlinks>
    <hyperlink ref="H6" r:id="rId1" xr:uid="{383231B5-A2EF-4F3A-8193-7C9B1C04356C}"/>
    <hyperlink ref="H5" r:id="rId2" xr:uid="{8DED52BB-DA5A-4BA9-84E0-EB9077C39C8A}"/>
    <hyperlink ref="H4" r:id="rId3" xr:uid="{61486738-11B3-43E6-9761-583396D56546}"/>
  </hyperlinks>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8DEB-CCDF-47B2-AB93-044B43849920}">
  <dimension ref="F4:H16"/>
  <sheetViews>
    <sheetView workbookViewId="0">
      <selection activeCell="I11" sqref="I11"/>
    </sheetView>
  </sheetViews>
  <sheetFormatPr defaultRowHeight="13.9"/>
  <cols>
    <col min="6" max="6" width="14.5" bestFit="1" customWidth="1"/>
    <col min="7" max="7" width="19.25" bestFit="1" customWidth="1"/>
    <col min="8" max="8" width="14.375" bestFit="1" customWidth="1"/>
  </cols>
  <sheetData>
    <row r="4" spans="6:8">
      <c r="F4" t="s">
        <v>736</v>
      </c>
    </row>
    <row r="6" spans="6:8">
      <c r="F6" t="s">
        <v>737</v>
      </c>
      <c r="G6" t="s">
        <v>738</v>
      </c>
      <c r="H6" t="s">
        <v>739</v>
      </c>
    </row>
    <row r="7" spans="6:8">
      <c r="F7">
        <v>1</v>
      </c>
      <c r="G7">
        <v>1</v>
      </c>
      <c r="H7">
        <v>100</v>
      </c>
    </row>
    <row r="8" spans="6:8">
      <c r="F8">
        <v>3</v>
      </c>
      <c r="G8">
        <v>1</v>
      </c>
      <c r="H8">
        <v>100</v>
      </c>
    </row>
    <row r="11" spans="6:8">
      <c r="F11" t="s">
        <v>740</v>
      </c>
    </row>
    <row r="12" spans="6:8">
      <c r="F12" t="s">
        <v>737</v>
      </c>
      <c r="G12" t="s">
        <v>739</v>
      </c>
    </row>
    <row r="13" spans="6:8">
      <c r="F13">
        <v>1</v>
      </c>
      <c r="G13">
        <v>100</v>
      </c>
    </row>
    <row r="14" spans="6:8">
      <c r="F14">
        <v>2</v>
      </c>
      <c r="G14">
        <v>100</v>
      </c>
    </row>
    <row r="15" spans="6:8">
      <c r="F15">
        <v>3</v>
      </c>
      <c r="G15">
        <v>100</v>
      </c>
    </row>
    <row r="16" spans="6:8">
      <c r="F16">
        <v>4</v>
      </c>
      <c r="G16">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431D-AC20-4C86-A962-7FD695CC217F}">
  <sheetPr filterMode="1"/>
  <dimension ref="A1:J141"/>
  <sheetViews>
    <sheetView showGridLines="0" zoomScaleNormal="100" workbookViewId="0">
      <pane ySplit="1" topLeftCell="A100" activePane="bottomLeft" state="frozen"/>
      <selection pane="bottomLeft" activeCell="C141" sqref="C141"/>
    </sheetView>
  </sheetViews>
  <sheetFormatPr defaultColWidth="9" defaultRowHeight="14.25" customHeight="1"/>
  <cols>
    <col min="1" max="1" width="13.625" style="53" customWidth="1"/>
    <col min="2" max="2" width="23.625" style="53" customWidth="1"/>
    <col min="3" max="3" width="36.375" style="53" customWidth="1"/>
    <col min="4" max="4" width="32.625" style="53" customWidth="1"/>
    <col min="5" max="5" width="14.375" style="53" customWidth="1"/>
    <col min="6" max="6" width="35" style="53" customWidth="1"/>
    <col min="7" max="7" width="13" style="63" customWidth="1"/>
    <col min="8" max="8" width="14.875" style="54" customWidth="1"/>
    <col min="9" max="9" width="9.5" style="60" customWidth="1"/>
    <col min="10" max="10" width="29.5" style="52" customWidth="1"/>
    <col min="11" max="16384" width="9" style="53"/>
  </cols>
  <sheetData>
    <row r="1" spans="1:10" s="51" customFormat="1" ht="29.1" customHeight="1">
      <c r="A1" s="55" t="s">
        <v>741</v>
      </c>
      <c r="B1" s="55" t="s">
        <v>3</v>
      </c>
      <c r="C1" s="55" t="s">
        <v>4</v>
      </c>
      <c r="D1" s="55" t="s">
        <v>742</v>
      </c>
      <c r="E1" s="55" t="s">
        <v>6</v>
      </c>
      <c r="F1" s="55" t="s">
        <v>743</v>
      </c>
      <c r="G1" s="61" t="s">
        <v>8</v>
      </c>
      <c r="H1" s="55" t="s">
        <v>744</v>
      </c>
      <c r="I1" s="50" t="s">
        <v>11</v>
      </c>
      <c r="J1" s="100" t="s">
        <v>745</v>
      </c>
    </row>
    <row r="2" spans="1:10" customFormat="1" ht="13.9" hidden="1">
      <c r="A2" s="7">
        <v>45253</v>
      </c>
      <c r="B2" s="7"/>
      <c r="C2" s="8" t="s">
        <v>746</v>
      </c>
      <c r="D2" s="8" t="s">
        <v>747</v>
      </c>
      <c r="E2" s="8" t="s">
        <v>748</v>
      </c>
      <c r="F2" s="9" t="s">
        <v>749</v>
      </c>
      <c r="G2" s="9"/>
      <c r="H2" s="13"/>
      <c r="I2" s="17" t="s">
        <v>750</v>
      </c>
    </row>
    <row r="3" spans="1:10" customFormat="1" ht="13.9" hidden="1">
      <c r="A3" s="7">
        <v>45253</v>
      </c>
      <c r="B3" s="7"/>
      <c r="C3" s="8" t="s">
        <v>751</v>
      </c>
      <c r="D3" s="8" t="s">
        <v>752</v>
      </c>
      <c r="E3" s="8" t="s">
        <v>753</v>
      </c>
      <c r="F3" s="9" t="s">
        <v>754</v>
      </c>
      <c r="G3" s="9"/>
      <c r="H3" s="13"/>
      <c r="I3" s="17" t="s">
        <v>750</v>
      </c>
    </row>
    <row r="4" spans="1:10" customFormat="1" ht="24.6" hidden="1">
      <c r="A4" s="7">
        <v>45253</v>
      </c>
      <c r="B4" s="7"/>
      <c r="C4" s="8" t="s">
        <v>751</v>
      </c>
      <c r="D4" s="8" t="s">
        <v>755</v>
      </c>
      <c r="E4" s="8" t="s">
        <v>748</v>
      </c>
      <c r="F4" s="9" t="s">
        <v>756</v>
      </c>
      <c r="G4" s="9"/>
      <c r="H4" s="13"/>
      <c r="I4" s="17" t="s">
        <v>750</v>
      </c>
    </row>
    <row r="5" spans="1:10" customFormat="1" ht="24.6" hidden="1">
      <c r="A5" s="11">
        <v>45253</v>
      </c>
      <c r="B5" s="11"/>
      <c r="C5" s="10" t="s">
        <v>757</v>
      </c>
      <c r="D5" s="10" t="s">
        <v>758</v>
      </c>
      <c r="E5" s="10" t="s">
        <v>759</v>
      </c>
      <c r="F5" s="12" t="s">
        <v>760</v>
      </c>
      <c r="G5" s="12"/>
      <c r="H5" s="14"/>
      <c r="I5" s="18" t="s">
        <v>750</v>
      </c>
    </row>
    <row r="6" spans="1:10" customFormat="1" ht="86.25" hidden="1" customHeight="1">
      <c r="A6" s="1">
        <v>45253</v>
      </c>
      <c r="B6" s="1"/>
      <c r="C6" s="2" t="s">
        <v>761</v>
      </c>
      <c r="D6" s="2" t="s">
        <v>762</v>
      </c>
      <c r="E6" s="2" t="s">
        <v>759</v>
      </c>
      <c r="F6" s="6" t="s">
        <v>763</v>
      </c>
      <c r="G6" s="20"/>
      <c r="H6" s="15">
        <v>3</v>
      </c>
      <c r="I6" s="25" t="s">
        <v>750</v>
      </c>
      <c r="J6" s="22"/>
    </row>
    <row r="7" spans="1:10" customFormat="1" ht="13.9" hidden="1">
      <c r="A7" s="7">
        <v>45253</v>
      </c>
      <c r="B7" s="7"/>
      <c r="C7" s="8" t="s">
        <v>764</v>
      </c>
      <c r="D7" s="8" t="s">
        <v>765</v>
      </c>
      <c r="E7" s="8" t="s">
        <v>748</v>
      </c>
      <c r="F7" s="9"/>
      <c r="G7" s="9"/>
      <c r="H7" s="13"/>
      <c r="I7" s="17" t="s">
        <v>750</v>
      </c>
    </row>
    <row r="8" spans="1:10" customFormat="1" ht="42" hidden="1" customHeight="1">
      <c r="A8" s="27">
        <v>45258</v>
      </c>
      <c r="B8" s="27"/>
      <c r="C8" s="28" t="s">
        <v>766</v>
      </c>
      <c r="D8" s="28" t="s">
        <v>767</v>
      </c>
      <c r="E8" s="28" t="s">
        <v>748</v>
      </c>
      <c r="F8" s="29" t="s">
        <v>768</v>
      </c>
      <c r="G8" s="29"/>
      <c r="H8" s="30"/>
      <c r="I8" s="31" t="s">
        <v>750</v>
      </c>
    </row>
    <row r="9" spans="1:10" customFormat="1" ht="164.45" hidden="1" customHeight="1">
      <c r="A9" s="1">
        <v>45258</v>
      </c>
      <c r="B9" s="1"/>
      <c r="C9" s="6" t="s">
        <v>769</v>
      </c>
      <c r="D9" s="3" t="s">
        <v>770</v>
      </c>
      <c r="E9" s="2" t="s">
        <v>748</v>
      </c>
      <c r="F9" s="3" t="s">
        <v>771</v>
      </c>
      <c r="G9" s="26"/>
      <c r="H9" s="15"/>
      <c r="I9" s="25" t="s">
        <v>459</v>
      </c>
      <c r="J9" s="23"/>
    </row>
    <row r="10" spans="1:10" customFormat="1" ht="71.25" hidden="1" customHeight="1">
      <c r="A10" s="7">
        <v>45271</v>
      </c>
      <c r="B10" s="7"/>
      <c r="C10" s="8" t="s">
        <v>772</v>
      </c>
      <c r="D10" s="8" t="s">
        <v>773</v>
      </c>
      <c r="E10" s="8" t="s">
        <v>748</v>
      </c>
      <c r="F10" s="9" t="s">
        <v>774</v>
      </c>
      <c r="G10" s="21"/>
      <c r="H10" s="13">
        <v>3</v>
      </c>
      <c r="I10" s="17" t="s">
        <v>459</v>
      </c>
      <c r="J10" s="24" t="s">
        <v>775</v>
      </c>
    </row>
    <row r="11" spans="1:10" customFormat="1" ht="24.6" hidden="1">
      <c r="A11" s="32">
        <v>45271</v>
      </c>
      <c r="B11" s="32"/>
      <c r="C11" s="28" t="s">
        <v>776</v>
      </c>
      <c r="D11" s="31" t="s">
        <v>777</v>
      </c>
      <c r="E11" s="28" t="s">
        <v>753</v>
      </c>
      <c r="F11" s="29"/>
      <c r="G11" s="29"/>
      <c r="H11" s="33">
        <v>3</v>
      </c>
      <c r="I11" s="31" t="s">
        <v>750</v>
      </c>
    </row>
    <row r="12" spans="1:10" customFormat="1" ht="35.1" hidden="1" customHeight="1">
      <c r="A12" s="32">
        <v>45271</v>
      </c>
      <c r="B12" s="32"/>
      <c r="C12" s="34" t="s">
        <v>778</v>
      </c>
      <c r="D12" s="28" t="s">
        <v>779</v>
      </c>
      <c r="E12" s="34" t="s">
        <v>753</v>
      </c>
      <c r="F12" s="29"/>
      <c r="G12" s="29"/>
      <c r="H12" s="35">
        <v>1</v>
      </c>
      <c r="I12" s="31" t="s">
        <v>750</v>
      </c>
    </row>
    <row r="13" spans="1:10" customFormat="1" ht="173.25" hidden="1" customHeight="1">
      <c r="A13" s="11">
        <v>45271</v>
      </c>
      <c r="B13" s="11"/>
      <c r="C13" s="8" t="s">
        <v>780</v>
      </c>
      <c r="D13" s="8" t="s">
        <v>781</v>
      </c>
      <c r="E13" s="8" t="s">
        <v>759</v>
      </c>
      <c r="F13" s="44" t="s">
        <v>782</v>
      </c>
      <c r="G13" s="41"/>
      <c r="H13" s="13"/>
      <c r="I13" s="17" t="s">
        <v>750</v>
      </c>
      <c r="J13" s="23"/>
    </row>
    <row r="14" spans="1:10" customFormat="1" ht="24.6" hidden="1">
      <c r="A14" s="32">
        <v>45272</v>
      </c>
      <c r="B14" s="32"/>
      <c r="C14" s="34" t="s">
        <v>783</v>
      </c>
      <c r="D14" s="36" t="s">
        <v>784</v>
      </c>
      <c r="E14" s="34" t="s">
        <v>748</v>
      </c>
      <c r="F14" s="37"/>
      <c r="G14" s="37"/>
      <c r="H14" s="35">
        <v>1</v>
      </c>
      <c r="I14" s="29" t="s">
        <v>750</v>
      </c>
    </row>
    <row r="15" spans="1:10" customFormat="1" ht="24.6" hidden="1">
      <c r="A15" s="32">
        <v>45279</v>
      </c>
      <c r="B15" s="32"/>
      <c r="C15" s="36" t="s">
        <v>785</v>
      </c>
      <c r="D15" s="36" t="s">
        <v>786</v>
      </c>
      <c r="E15" s="34" t="s">
        <v>748</v>
      </c>
      <c r="F15" s="29" t="s">
        <v>787</v>
      </c>
      <c r="G15" s="29"/>
      <c r="H15" s="35">
        <v>1</v>
      </c>
      <c r="I15" s="29" t="s">
        <v>750</v>
      </c>
    </row>
    <row r="16" spans="1:10" customFormat="1" ht="13.9" hidden="1">
      <c r="A16" s="32">
        <v>45279</v>
      </c>
      <c r="B16" s="32"/>
      <c r="C16" s="36" t="s">
        <v>788</v>
      </c>
      <c r="D16" s="36"/>
      <c r="E16" s="34"/>
      <c r="F16" s="29" t="s">
        <v>789</v>
      </c>
      <c r="G16" s="29"/>
      <c r="H16" s="35"/>
      <c r="I16" s="31" t="s">
        <v>750</v>
      </c>
    </row>
    <row r="17" spans="1:10" customFormat="1" ht="66.75" hidden="1" customHeight="1">
      <c r="A17" s="4">
        <v>45300</v>
      </c>
      <c r="B17" s="4"/>
      <c r="C17" s="3" t="s">
        <v>790</v>
      </c>
      <c r="D17" s="19" t="s">
        <v>791</v>
      </c>
      <c r="E17" s="5" t="s">
        <v>753</v>
      </c>
      <c r="F17" s="6" t="s">
        <v>792</v>
      </c>
      <c r="G17" s="6"/>
      <c r="H17" s="15">
        <v>2</v>
      </c>
      <c r="I17" s="6" t="s">
        <v>750</v>
      </c>
      <c r="J17" s="22"/>
    </row>
    <row r="18" spans="1:10" customFormat="1" ht="13.9" hidden="1">
      <c r="A18" s="32">
        <v>45300</v>
      </c>
      <c r="B18" s="32"/>
      <c r="C18" s="29" t="s">
        <v>793</v>
      </c>
      <c r="D18" s="38"/>
      <c r="E18" s="34" t="s">
        <v>794</v>
      </c>
      <c r="F18" s="28"/>
      <c r="G18" s="28"/>
      <c r="H18" s="35"/>
      <c r="I18" s="29" t="s">
        <v>750</v>
      </c>
      <c r="J18" s="101"/>
    </row>
    <row r="19" spans="1:10" customFormat="1" ht="81" hidden="1" customHeight="1">
      <c r="A19" s="11">
        <v>45300</v>
      </c>
      <c r="B19" s="11"/>
      <c r="C19" s="9" t="s">
        <v>795</v>
      </c>
      <c r="D19" s="43"/>
      <c r="E19" s="10" t="s">
        <v>794</v>
      </c>
      <c r="F19" s="9" t="s">
        <v>796</v>
      </c>
      <c r="G19" s="41">
        <v>45330</v>
      </c>
      <c r="H19" s="42">
        <v>1</v>
      </c>
      <c r="I19" s="17" t="s">
        <v>750</v>
      </c>
    </row>
    <row r="20" spans="1:10" customFormat="1" ht="67.5" hidden="1" customHeight="1">
      <c r="A20" s="32">
        <v>45300</v>
      </c>
      <c r="B20" s="32"/>
      <c r="C20" s="29" t="s">
        <v>797</v>
      </c>
      <c r="D20" s="31" t="s">
        <v>798</v>
      </c>
      <c r="E20" s="34"/>
      <c r="F20" s="29" t="s">
        <v>799</v>
      </c>
      <c r="G20" s="39"/>
      <c r="H20" s="33"/>
      <c r="I20" s="31" t="s">
        <v>750</v>
      </c>
      <c r="J20" s="22"/>
    </row>
    <row r="21" spans="1:10" customFormat="1" ht="86.1" hidden="1">
      <c r="A21" s="32">
        <v>45301</v>
      </c>
      <c r="B21" s="32"/>
      <c r="C21" s="29" t="s">
        <v>800</v>
      </c>
      <c r="D21" s="38"/>
      <c r="E21" s="34"/>
      <c r="F21" s="29" t="s">
        <v>801</v>
      </c>
      <c r="G21" s="31"/>
      <c r="H21" s="33"/>
      <c r="I21" s="31" t="s">
        <v>750</v>
      </c>
      <c r="J21" s="23"/>
    </row>
    <row r="22" spans="1:10" customFormat="1" ht="57" hidden="1" customHeight="1">
      <c r="A22" s="32">
        <v>45301</v>
      </c>
      <c r="B22" s="32"/>
      <c r="C22" s="29" t="s">
        <v>802</v>
      </c>
      <c r="D22" s="31" t="s">
        <v>803</v>
      </c>
      <c r="E22" s="34"/>
      <c r="F22" s="29" t="s">
        <v>804</v>
      </c>
      <c r="G22" s="40"/>
      <c r="H22" s="33"/>
      <c r="I22" s="31" t="s">
        <v>750</v>
      </c>
      <c r="J22" s="23"/>
    </row>
    <row r="23" spans="1:10" customFormat="1" ht="36.950000000000003" hidden="1">
      <c r="A23" s="32">
        <v>45313</v>
      </c>
      <c r="B23" s="32"/>
      <c r="C23" s="29" t="s">
        <v>805</v>
      </c>
      <c r="D23" s="29" t="s">
        <v>806</v>
      </c>
      <c r="E23" s="28"/>
      <c r="F23" s="29" t="s">
        <v>807</v>
      </c>
      <c r="G23" s="39"/>
      <c r="H23" s="33"/>
      <c r="I23" s="31" t="s">
        <v>750</v>
      </c>
      <c r="J23" s="23"/>
    </row>
    <row r="24" spans="1:10" customFormat="1" ht="31.5" hidden="1" customHeight="1">
      <c r="A24" s="32">
        <v>45314</v>
      </c>
      <c r="B24" s="32"/>
      <c r="C24" s="29" t="s">
        <v>808</v>
      </c>
      <c r="D24" s="31" t="s">
        <v>809</v>
      </c>
      <c r="E24" s="34"/>
      <c r="F24" s="29" t="s">
        <v>810</v>
      </c>
      <c r="G24" s="39"/>
      <c r="H24" s="33"/>
      <c r="I24" s="31" t="s">
        <v>750</v>
      </c>
      <c r="J24" s="23"/>
    </row>
    <row r="25" spans="1:10" customFormat="1" ht="24.6" hidden="1">
      <c r="A25" s="32">
        <v>45316</v>
      </c>
      <c r="B25" s="32"/>
      <c r="C25" s="29" t="s">
        <v>811</v>
      </c>
      <c r="D25" s="31" t="s">
        <v>812</v>
      </c>
      <c r="E25" s="34"/>
      <c r="F25" s="29" t="s">
        <v>813</v>
      </c>
      <c r="G25" s="39"/>
      <c r="H25" s="33"/>
      <c r="I25" s="31" t="s">
        <v>750</v>
      </c>
      <c r="J25" s="23"/>
    </row>
    <row r="26" spans="1:10" customFormat="1" ht="52.5" hidden="1" customHeight="1">
      <c r="A26" s="4">
        <v>45327</v>
      </c>
      <c r="B26" s="4"/>
      <c r="C26" s="3" t="s">
        <v>814</v>
      </c>
      <c r="D26" s="3" t="s">
        <v>815</v>
      </c>
      <c r="E26" s="5" t="s">
        <v>59</v>
      </c>
      <c r="F26" s="3" t="s">
        <v>816</v>
      </c>
      <c r="G26" s="26">
        <v>45328</v>
      </c>
      <c r="H26" s="16">
        <v>1</v>
      </c>
      <c r="I26" s="6" t="s">
        <v>750</v>
      </c>
      <c r="J26" s="23"/>
    </row>
    <row r="27" spans="1:10" customFormat="1" ht="149.1" hidden="1" customHeight="1">
      <c r="A27" s="4">
        <v>45328</v>
      </c>
      <c r="B27" s="4"/>
      <c r="C27" s="9" t="s">
        <v>817</v>
      </c>
      <c r="D27" s="9" t="s">
        <v>818</v>
      </c>
      <c r="E27" s="10" t="s">
        <v>748</v>
      </c>
      <c r="F27" s="9" t="s">
        <v>819</v>
      </c>
      <c r="G27" s="41">
        <v>45349</v>
      </c>
      <c r="H27" s="42"/>
      <c r="I27" s="17" t="s">
        <v>750</v>
      </c>
      <c r="J27" s="23"/>
    </row>
    <row r="28" spans="1:10" customFormat="1" ht="123" hidden="1" customHeight="1">
      <c r="A28" s="4">
        <v>45328</v>
      </c>
      <c r="B28" s="4"/>
      <c r="C28" s="9" t="s">
        <v>820</v>
      </c>
      <c r="D28" s="9" t="s">
        <v>821</v>
      </c>
      <c r="E28" s="10" t="s">
        <v>748</v>
      </c>
      <c r="F28" s="9" t="s">
        <v>822</v>
      </c>
      <c r="G28" s="41">
        <v>45349</v>
      </c>
      <c r="H28" s="42"/>
      <c r="I28" s="17" t="s">
        <v>750</v>
      </c>
      <c r="J28" s="23"/>
    </row>
    <row r="29" spans="1:10" customFormat="1" ht="33" hidden="1" customHeight="1">
      <c r="A29" s="4">
        <v>45328</v>
      </c>
      <c r="B29" s="4"/>
      <c r="C29" s="3" t="s">
        <v>823</v>
      </c>
      <c r="D29" s="2"/>
      <c r="E29" s="5" t="s">
        <v>794</v>
      </c>
      <c r="F29" s="3"/>
      <c r="G29" s="26">
        <v>45331</v>
      </c>
      <c r="H29" s="16"/>
      <c r="I29" s="6" t="s">
        <v>750</v>
      </c>
      <c r="J29" s="23"/>
    </row>
    <row r="30" spans="1:10" customFormat="1" ht="74.25" hidden="1" customHeight="1">
      <c r="A30" s="4">
        <v>45329</v>
      </c>
      <c r="B30" s="4"/>
      <c r="C30" s="3" t="s">
        <v>824</v>
      </c>
      <c r="D30" s="3" t="s">
        <v>825</v>
      </c>
      <c r="E30" s="5"/>
      <c r="F30" s="3" t="s">
        <v>826</v>
      </c>
      <c r="G30" s="26"/>
      <c r="H30" s="16"/>
      <c r="I30" s="6" t="s">
        <v>750</v>
      </c>
      <c r="J30" s="23"/>
    </row>
    <row r="31" spans="1:10" customFormat="1" ht="60.75" hidden="1" customHeight="1">
      <c r="A31" s="11">
        <v>45330</v>
      </c>
      <c r="B31" s="11"/>
      <c r="C31" s="9" t="s">
        <v>827</v>
      </c>
      <c r="D31" s="9" t="s">
        <v>828</v>
      </c>
      <c r="E31" s="10"/>
      <c r="F31" s="9" t="s">
        <v>829</v>
      </c>
      <c r="G31" s="41"/>
      <c r="H31" s="42"/>
      <c r="I31" s="17" t="s">
        <v>750</v>
      </c>
      <c r="J31" s="23"/>
    </row>
    <row r="32" spans="1:10" customFormat="1" ht="57.75" hidden="1" customHeight="1">
      <c r="A32" s="11">
        <v>45330</v>
      </c>
      <c r="B32" s="11"/>
      <c r="C32" s="9" t="s">
        <v>830</v>
      </c>
      <c r="D32" s="9" t="s">
        <v>831</v>
      </c>
      <c r="E32" s="10" t="s">
        <v>59</v>
      </c>
      <c r="F32" s="9" t="s">
        <v>832</v>
      </c>
      <c r="G32" s="41"/>
      <c r="H32" s="42"/>
      <c r="I32" s="41" t="s">
        <v>750</v>
      </c>
      <c r="J32" s="23"/>
    </row>
    <row r="33" spans="1:10" customFormat="1" ht="84" hidden="1" customHeight="1">
      <c r="A33" s="4">
        <v>45330</v>
      </c>
      <c r="B33" s="4"/>
      <c r="C33" s="3" t="s">
        <v>833</v>
      </c>
      <c r="D33" s="3"/>
      <c r="E33" s="5" t="s">
        <v>759</v>
      </c>
      <c r="F33" s="3" t="s">
        <v>834</v>
      </c>
      <c r="G33" s="26">
        <v>45351</v>
      </c>
      <c r="H33" s="16"/>
      <c r="I33" s="6" t="s">
        <v>459</v>
      </c>
      <c r="J33" s="23"/>
    </row>
    <row r="34" spans="1:10" customFormat="1" ht="54" hidden="1" customHeight="1">
      <c r="A34" s="11">
        <v>45335</v>
      </c>
      <c r="B34" s="11"/>
      <c r="C34" s="9" t="s">
        <v>835</v>
      </c>
      <c r="D34" s="9" t="s">
        <v>836</v>
      </c>
      <c r="E34" s="10"/>
      <c r="F34" s="9" t="s">
        <v>837</v>
      </c>
      <c r="G34" s="41"/>
      <c r="H34" s="42"/>
      <c r="I34" s="41" t="s">
        <v>750</v>
      </c>
      <c r="J34" s="23"/>
    </row>
    <row r="35" spans="1:10" customFormat="1" ht="39.6" hidden="1" customHeight="1">
      <c r="A35" s="4">
        <v>45337</v>
      </c>
      <c r="B35" s="4"/>
      <c r="C35" s="3" t="s">
        <v>838</v>
      </c>
      <c r="D35" s="3"/>
      <c r="E35" s="5" t="s">
        <v>748</v>
      </c>
      <c r="F35" s="3" t="s">
        <v>839</v>
      </c>
      <c r="G35" s="26">
        <v>45351</v>
      </c>
      <c r="H35" s="16"/>
      <c r="I35" s="6" t="s">
        <v>750</v>
      </c>
      <c r="J35" s="23"/>
    </row>
    <row r="36" spans="1:10" customFormat="1" ht="39" hidden="1" customHeight="1">
      <c r="A36" s="4">
        <v>45338</v>
      </c>
      <c r="B36" s="4"/>
      <c r="C36" s="3" t="s">
        <v>840</v>
      </c>
      <c r="D36" s="3" t="s">
        <v>841</v>
      </c>
      <c r="E36" s="5"/>
      <c r="F36" s="3"/>
      <c r="G36" s="26"/>
      <c r="H36" s="16"/>
      <c r="I36" s="6" t="s">
        <v>842</v>
      </c>
      <c r="J36" s="23"/>
    </row>
    <row r="37" spans="1:10" customFormat="1" ht="108.75" hidden="1" customHeight="1">
      <c r="A37" s="4">
        <v>45343</v>
      </c>
      <c r="B37" s="4"/>
      <c r="C37" s="3" t="s">
        <v>843</v>
      </c>
      <c r="D37" s="3" t="s">
        <v>844</v>
      </c>
      <c r="E37" s="5" t="s">
        <v>748</v>
      </c>
      <c r="F37" s="3" t="s">
        <v>845</v>
      </c>
      <c r="G37" s="26"/>
      <c r="H37" s="16"/>
      <c r="I37" s="25" t="s">
        <v>459</v>
      </c>
      <c r="J37" s="23"/>
    </row>
    <row r="38" spans="1:10" customFormat="1" ht="49.15" hidden="1">
      <c r="A38" s="11">
        <v>45348</v>
      </c>
      <c r="B38" s="11"/>
      <c r="C38" s="9" t="s">
        <v>846</v>
      </c>
      <c r="D38" s="9" t="s">
        <v>847</v>
      </c>
      <c r="E38" s="10" t="s">
        <v>759</v>
      </c>
      <c r="F38" s="9" t="s">
        <v>848</v>
      </c>
      <c r="G38" s="41"/>
      <c r="H38" s="42"/>
      <c r="I38" s="45" t="s">
        <v>750</v>
      </c>
      <c r="J38" s="23"/>
    </row>
    <row r="39" spans="1:10" customFormat="1" ht="49.15" hidden="1">
      <c r="A39" s="11">
        <v>45348</v>
      </c>
      <c r="B39" s="11"/>
      <c r="C39" s="9" t="s">
        <v>849</v>
      </c>
      <c r="D39" s="9" t="s">
        <v>850</v>
      </c>
      <c r="E39" s="10" t="s">
        <v>759</v>
      </c>
      <c r="F39" s="9" t="s">
        <v>848</v>
      </c>
      <c r="G39" s="41"/>
      <c r="H39" s="42"/>
      <c r="I39" s="45" t="s">
        <v>750</v>
      </c>
      <c r="J39" s="23"/>
    </row>
    <row r="40" spans="1:10" customFormat="1" ht="47.25" hidden="1" customHeight="1">
      <c r="A40" s="4">
        <v>45348</v>
      </c>
      <c r="B40" s="4"/>
      <c r="C40" s="3" t="s">
        <v>851</v>
      </c>
      <c r="D40" s="3" t="s">
        <v>852</v>
      </c>
      <c r="E40" s="5" t="s">
        <v>748</v>
      </c>
      <c r="F40" s="3" t="s">
        <v>853</v>
      </c>
      <c r="G40" s="46" t="s">
        <v>854</v>
      </c>
      <c r="H40" s="16"/>
      <c r="I40" s="47" t="s">
        <v>855</v>
      </c>
      <c r="J40" s="23"/>
    </row>
    <row r="41" spans="1:10" customFormat="1" ht="15" hidden="1" customHeight="1">
      <c r="A41" s="4">
        <v>45351</v>
      </c>
      <c r="B41" s="4"/>
      <c r="C41" s="3" t="s">
        <v>856</v>
      </c>
      <c r="D41" s="3" t="s">
        <v>857</v>
      </c>
      <c r="E41" s="5" t="s">
        <v>748</v>
      </c>
      <c r="F41" s="3"/>
      <c r="G41" s="26"/>
      <c r="H41" s="16"/>
      <c r="I41" s="6" t="s">
        <v>855</v>
      </c>
      <c r="J41" s="23"/>
    </row>
    <row r="42" spans="1:10" customFormat="1" ht="28.5" hidden="1" customHeight="1">
      <c r="A42" s="4">
        <v>45351</v>
      </c>
      <c r="B42" s="4"/>
      <c r="C42" s="3" t="s">
        <v>858</v>
      </c>
      <c r="D42" s="3" t="s">
        <v>859</v>
      </c>
      <c r="E42" s="5" t="s">
        <v>748</v>
      </c>
      <c r="F42" s="3" t="s">
        <v>860</v>
      </c>
      <c r="G42" s="26"/>
      <c r="H42" s="16"/>
      <c r="I42" s="6" t="s">
        <v>855</v>
      </c>
      <c r="J42" s="23"/>
    </row>
    <row r="43" spans="1:10" customFormat="1" ht="18" hidden="1" customHeight="1">
      <c r="A43" s="4">
        <v>45351</v>
      </c>
      <c r="B43" s="4"/>
      <c r="C43" s="3" t="s">
        <v>861</v>
      </c>
      <c r="D43" s="3" t="s">
        <v>859</v>
      </c>
      <c r="E43" s="5" t="s">
        <v>748</v>
      </c>
      <c r="F43" s="3"/>
      <c r="G43" s="26"/>
      <c r="H43" s="16"/>
      <c r="I43" s="6" t="s">
        <v>842</v>
      </c>
      <c r="J43" s="23"/>
    </row>
    <row r="44" spans="1:10" customFormat="1" ht="18" hidden="1" customHeight="1">
      <c r="A44" s="4">
        <v>45337</v>
      </c>
      <c r="B44" s="4"/>
      <c r="C44" s="3" t="s">
        <v>862</v>
      </c>
      <c r="D44" s="3" t="s">
        <v>859</v>
      </c>
      <c r="E44" s="5" t="s">
        <v>748</v>
      </c>
      <c r="F44" s="3"/>
      <c r="G44" s="26"/>
      <c r="H44" s="16"/>
      <c r="I44" s="6" t="s">
        <v>842</v>
      </c>
      <c r="J44" s="23"/>
    </row>
    <row r="45" spans="1:10" customFormat="1" ht="18" hidden="1" customHeight="1">
      <c r="A45" s="4">
        <v>45422</v>
      </c>
      <c r="B45" s="4"/>
      <c r="C45" s="3" t="s">
        <v>863</v>
      </c>
      <c r="D45" s="3"/>
      <c r="E45" s="5" t="s">
        <v>864</v>
      </c>
      <c r="F45" s="3"/>
      <c r="G45" s="26"/>
      <c r="H45" s="16"/>
      <c r="I45" s="47" t="s">
        <v>855</v>
      </c>
      <c r="J45" s="23"/>
    </row>
    <row r="46" spans="1:10" customFormat="1" ht="18" hidden="1" customHeight="1">
      <c r="A46" s="4">
        <v>45422</v>
      </c>
      <c r="B46" s="4"/>
      <c r="C46" s="3" t="s">
        <v>865</v>
      </c>
      <c r="D46" s="3"/>
      <c r="E46" s="5" t="s">
        <v>864</v>
      </c>
      <c r="F46" s="3"/>
      <c r="G46" s="26"/>
      <c r="H46" s="16"/>
      <c r="I46" s="47" t="s">
        <v>855</v>
      </c>
      <c r="J46" s="23"/>
    </row>
    <row r="47" spans="1:10" customFormat="1" ht="24.6" hidden="1">
      <c r="A47" s="4">
        <v>45428</v>
      </c>
      <c r="B47" s="4"/>
      <c r="C47" s="3" t="s">
        <v>866</v>
      </c>
      <c r="D47" s="3"/>
      <c r="E47" s="5" t="s">
        <v>759</v>
      </c>
      <c r="F47" s="3" t="s">
        <v>867</v>
      </c>
      <c r="G47" s="26"/>
      <c r="H47" s="16"/>
      <c r="I47" s="47" t="s">
        <v>855</v>
      </c>
      <c r="J47" s="23"/>
    </row>
    <row r="48" spans="1:10" customFormat="1" ht="24.6" hidden="1">
      <c r="A48" s="4">
        <v>45428</v>
      </c>
      <c r="B48" s="4"/>
      <c r="C48" s="3" t="s">
        <v>868</v>
      </c>
      <c r="D48" s="3" t="s">
        <v>869</v>
      </c>
      <c r="E48" s="5" t="s">
        <v>870</v>
      </c>
      <c r="F48" s="3" t="s">
        <v>871</v>
      </c>
      <c r="G48" s="4">
        <v>45435</v>
      </c>
      <c r="H48" s="16"/>
      <c r="I48" s="6" t="s">
        <v>855</v>
      </c>
      <c r="J48" s="23"/>
    </row>
    <row r="49" spans="1:10" customFormat="1" ht="36.950000000000003" hidden="1">
      <c r="A49" s="4">
        <v>45428</v>
      </c>
      <c r="B49" s="4"/>
      <c r="C49" s="3" t="s">
        <v>872</v>
      </c>
      <c r="D49" s="48" t="s">
        <v>873</v>
      </c>
      <c r="E49" s="5"/>
      <c r="F49" s="3" t="s">
        <v>874</v>
      </c>
      <c r="G49" s="26"/>
      <c r="H49" s="16"/>
      <c r="I49" s="6" t="s">
        <v>855</v>
      </c>
      <c r="J49" s="23"/>
    </row>
    <row r="50" spans="1:10" customFormat="1" ht="13.9" hidden="1">
      <c r="A50" s="4">
        <v>45428</v>
      </c>
      <c r="B50" s="4"/>
      <c r="C50" s="3" t="s">
        <v>875</v>
      </c>
      <c r="D50" s="3" t="s">
        <v>876</v>
      </c>
      <c r="E50" s="5"/>
      <c r="F50" s="3" t="s">
        <v>877</v>
      </c>
      <c r="G50" s="26"/>
      <c r="H50" s="16"/>
      <c r="I50" s="6" t="s">
        <v>855</v>
      </c>
      <c r="J50" s="23"/>
    </row>
    <row r="51" spans="1:10" customFormat="1" ht="69" hidden="1" customHeight="1">
      <c r="A51" s="4">
        <v>45428</v>
      </c>
      <c r="B51" s="4"/>
      <c r="C51" s="3" t="s">
        <v>878</v>
      </c>
      <c r="D51" s="3" t="s">
        <v>879</v>
      </c>
      <c r="E51" s="5"/>
      <c r="F51" s="3" t="s">
        <v>880</v>
      </c>
      <c r="G51" s="4">
        <v>45434</v>
      </c>
      <c r="H51" s="16"/>
      <c r="I51" s="6" t="s">
        <v>855</v>
      </c>
      <c r="J51" s="23"/>
    </row>
    <row r="52" spans="1:10" customFormat="1" ht="24.6" hidden="1">
      <c r="A52" s="4">
        <v>45433</v>
      </c>
      <c r="B52" s="4"/>
      <c r="C52" s="3" t="s">
        <v>881</v>
      </c>
      <c r="D52" s="3" t="s">
        <v>882</v>
      </c>
      <c r="E52" s="5" t="s">
        <v>748</v>
      </c>
      <c r="F52" s="3" t="s">
        <v>883</v>
      </c>
      <c r="G52" s="4">
        <v>45441</v>
      </c>
      <c r="H52" s="16"/>
      <c r="I52" s="6" t="s">
        <v>855</v>
      </c>
      <c r="J52" s="23"/>
    </row>
    <row r="53" spans="1:10" customFormat="1" ht="13.9" hidden="1">
      <c r="A53" s="4">
        <v>45433</v>
      </c>
      <c r="B53" s="4"/>
      <c r="C53" s="3" t="s">
        <v>866</v>
      </c>
      <c r="D53" s="3" t="s">
        <v>884</v>
      </c>
      <c r="E53" s="5" t="s">
        <v>748</v>
      </c>
      <c r="F53" s="3"/>
      <c r="G53" s="4">
        <v>45434</v>
      </c>
      <c r="H53" s="16"/>
      <c r="I53" s="47" t="s">
        <v>855</v>
      </c>
      <c r="J53" s="23"/>
    </row>
    <row r="54" spans="1:10" customFormat="1" ht="36.950000000000003" hidden="1">
      <c r="A54" s="4">
        <v>45433</v>
      </c>
      <c r="B54" s="4"/>
      <c r="C54" s="3" t="s">
        <v>851</v>
      </c>
      <c r="D54" s="3" t="s">
        <v>885</v>
      </c>
      <c r="E54" s="5" t="s">
        <v>748</v>
      </c>
      <c r="F54" s="3" t="s">
        <v>886</v>
      </c>
      <c r="G54" s="4">
        <v>45446</v>
      </c>
      <c r="H54" s="16"/>
      <c r="I54" s="6" t="s">
        <v>855</v>
      </c>
      <c r="J54" s="23"/>
    </row>
    <row r="55" spans="1:10" customFormat="1" ht="13.9" hidden="1">
      <c r="A55" s="4">
        <v>45433</v>
      </c>
      <c r="B55" s="4"/>
      <c r="C55" s="3" t="s">
        <v>887</v>
      </c>
      <c r="D55" s="3"/>
      <c r="E55" s="5"/>
      <c r="F55" s="3"/>
      <c r="G55" s="4"/>
      <c r="H55" s="16"/>
      <c r="I55" s="6" t="s">
        <v>855</v>
      </c>
      <c r="J55" s="23"/>
    </row>
    <row r="56" spans="1:10" customFormat="1" ht="13.9" hidden="1">
      <c r="A56" s="4">
        <v>45439</v>
      </c>
      <c r="B56" s="4"/>
      <c r="C56" s="3" t="s">
        <v>888</v>
      </c>
      <c r="D56" s="3" t="s">
        <v>889</v>
      </c>
      <c r="E56" s="5" t="s">
        <v>748</v>
      </c>
      <c r="F56" s="3" t="s">
        <v>105</v>
      </c>
      <c r="G56" s="4"/>
      <c r="H56" s="16"/>
      <c r="I56" s="6" t="s">
        <v>855</v>
      </c>
      <c r="J56" s="23"/>
    </row>
    <row r="57" spans="1:10" customFormat="1" ht="24.6" hidden="1">
      <c r="A57" s="4">
        <v>45440</v>
      </c>
      <c r="B57" s="4"/>
      <c r="C57" s="3" t="s">
        <v>890</v>
      </c>
      <c r="D57" s="48" t="s">
        <v>891</v>
      </c>
      <c r="E57" s="5"/>
      <c r="F57" s="3" t="s">
        <v>892</v>
      </c>
      <c r="G57" s="26"/>
      <c r="H57" s="16"/>
      <c r="I57" s="6" t="s">
        <v>855</v>
      </c>
      <c r="J57" s="23"/>
    </row>
    <row r="58" spans="1:10" customFormat="1" ht="49.15" hidden="1">
      <c r="A58" s="4">
        <v>45440</v>
      </c>
      <c r="B58" s="4"/>
      <c r="C58" s="3" t="s">
        <v>893</v>
      </c>
      <c r="D58" s="48"/>
      <c r="E58" s="5"/>
      <c r="F58" s="3" t="s">
        <v>894</v>
      </c>
      <c r="G58" s="4">
        <v>45455</v>
      </c>
      <c r="H58" s="16"/>
      <c r="I58" s="6" t="s">
        <v>750</v>
      </c>
      <c r="J58" s="23"/>
    </row>
    <row r="59" spans="1:10" customFormat="1" ht="13.9" hidden="1">
      <c r="A59" s="4">
        <v>45440</v>
      </c>
      <c r="B59" s="4"/>
      <c r="C59" s="3" t="s">
        <v>895</v>
      </c>
      <c r="D59" s="48"/>
      <c r="E59" s="5"/>
      <c r="F59" s="3" t="s">
        <v>896</v>
      </c>
      <c r="G59" s="4">
        <v>45455</v>
      </c>
      <c r="H59" s="16"/>
      <c r="I59" s="6" t="s">
        <v>855</v>
      </c>
      <c r="J59" s="23"/>
    </row>
    <row r="60" spans="1:10" customFormat="1" ht="13.9" hidden="1">
      <c r="A60" s="4">
        <v>45440</v>
      </c>
      <c r="B60" s="4"/>
      <c r="C60" s="3" t="s">
        <v>897</v>
      </c>
      <c r="D60" s="48" t="s">
        <v>898</v>
      </c>
      <c r="E60" s="5"/>
      <c r="F60" s="3" t="s">
        <v>899</v>
      </c>
      <c r="G60" s="4"/>
      <c r="H60" s="16"/>
      <c r="I60" s="6" t="s">
        <v>855</v>
      </c>
      <c r="J60" s="23"/>
    </row>
    <row r="61" spans="1:10" customFormat="1" ht="24.6" hidden="1">
      <c r="A61" s="4">
        <v>45447</v>
      </c>
      <c r="B61" s="4"/>
      <c r="C61" s="3" t="s">
        <v>900</v>
      </c>
      <c r="D61" s="48"/>
      <c r="E61" s="5"/>
      <c r="F61" s="3" t="s">
        <v>901</v>
      </c>
      <c r="G61" s="4">
        <v>45447</v>
      </c>
      <c r="H61" s="16"/>
      <c r="I61" s="6" t="s">
        <v>855</v>
      </c>
      <c r="J61" s="23"/>
    </row>
    <row r="62" spans="1:10" customFormat="1" ht="13.9" hidden="1">
      <c r="A62" s="4">
        <v>45454</v>
      </c>
      <c r="B62" s="4"/>
      <c r="C62" s="3" t="s">
        <v>902</v>
      </c>
      <c r="D62" s="48"/>
      <c r="E62" s="5" t="s">
        <v>748</v>
      </c>
      <c r="F62" s="3" t="s">
        <v>903</v>
      </c>
      <c r="G62" s="4">
        <v>45455</v>
      </c>
      <c r="H62" s="16"/>
      <c r="I62" s="6" t="s">
        <v>855</v>
      </c>
      <c r="J62" s="23"/>
    </row>
    <row r="63" spans="1:10" customFormat="1" ht="13.9" hidden="1">
      <c r="A63" s="4">
        <v>45454</v>
      </c>
      <c r="B63" s="4"/>
      <c r="C63" s="3" t="s">
        <v>904</v>
      </c>
      <c r="D63" s="48"/>
      <c r="E63" s="5" t="s">
        <v>864</v>
      </c>
      <c r="F63" s="3" t="s">
        <v>905</v>
      </c>
      <c r="G63" s="4">
        <v>45454</v>
      </c>
      <c r="H63" s="16"/>
      <c r="I63" s="6" t="s">
        <v>855</v>
      </c>
      <c r="J63" s="23"/>
    </row>
    <row r="64" spans="1:10" customFormat="1" ht="13.9" hidden="1">
      <c r="A64" s="4">
        <v>45456</v>
      </c>
      <c r="B64" s="4"/>
      <c r="C64" s="3" t="s">
        <v>906</v>
      </c>
      <c r="D64" s="48" t="s">
        <v>907</v>
      </c>
      <c r="E64" s="5" t="s">
        <v>748</v>
      </c>
      <c r="F64" s="3" t="s">
        <v>908</v>
      </c>
      <c r="G64" s="4"/>
      <c r="H64" s="16"/>
      <c r="I64" s="6" t="s">
        <v>750</v>
      </c>
      <c r="J64" s="23"/>
    </row>
    <row r="65" spans="1:10" customFormat="1" ht="13.9" hidden="1">
      <c r="A65" s="4">
        <v>45456</v>
      </c>
      <c r="B65" s="4"/>
      <c r="C65" s="3" t="s">
        <v>909</v>
      </c>
      <c r="D65" s="48" t="s">
        <v>907</v>
      </c>
      <c r="E65" s="5" t="s">
        <v>748</v>
      </c>
      <c r="F65" s="3" t="s">
        <v>910</v>
      </c>
      <c r="G65" s="4"/>
      <c r="H65" s="16"/>
      <c r="I65" s="6" t="s">
        <v>750</v>
      </c>
      <c r="J65" s="23"/>
    </row>
    <row r="66" spans="1:10" customFormat="1" ht="13.9" hidden="1">
      <c r="A66" s="4">
        <v>45467</v>
      </c>
      <c r="B66" s="4"/>
      <c r="C66" s="3" t="s">
        <v>911</v>
      </c>
      <c r="D66" s="48" t="s">
        <v>907</v>
      </c>
      <c r="E66" s="5" t="s">
        <v>748</v>
      </c>
      <c r="F66" s="3" t="s">
        <v>912</v>
      </c>
      <c r="G66" s="4">
        <v>45482</v>
      </c>
      <c r="H66" s="16"/>
      <c r="I66" s="6" t="s">
        <v>750</v>
      </c>
      <c r="J66" s="23"/>
    </row>
    <row r="67" spans="1:10" customFormat="1" ht="110.65" hidden="1">
      <c r="A67" s="4">
        <v>45468</v>
      </c>
      <c r="B67" s="4"/>
      <c r="C67" s="3" t="s">
        <v>913</v>
      </c>
      <c r="D67" s="48" t="s">
        <v>907</v>
      </c>
      <c r="E67" s="5" t="s">
        <v>748</v>
      </c>
      <c r="F67" s="3" t="s">
        <v>914</v>
      </c>
      <c r="G67" s="4"/>
      <c r="H67" s="16"/>
      <c r="I67" s="6" t="s">
        <v>750</v>
      </c>
      <c r="J67" s="23"/>
    </row>
    <row r="68" spans="1:10" customFormat="1" ht="13.9" hidden="1">
      <c r="A68" s="4">
        <v>45470</v>
      </c>
      <c r="B68" s="4"/>
      <c r="C68" s="3" t="s">
        <v>915</v>
      </c>
      <c r="D68" s="48"/>
      <c r="E68" s="5" t="s">
        <v>748</v>
      </c>
      <c r="F68" s="3"/>
      <c r="G68" s="4"/>
      <c r="H68" s="16"/>
      <c r="I68" s="6" t="s">
        <v>750</v>
      </c>
      <c r="J68" s="23"/>
    </row>
    <row r="69" spans="1:10" customFormat="1" ht="24.6" hidden="1">
      <c r="A69" s="4">
        <v>45475</v>
      </c>
      <c r="B69" s="4"/>
      <c r="C69" s="3" t="s">
        <v>916</v>
      </c>
      <c r="D69" s="48"/>
      <c r="E69" s="5" t="s">
        <v>917</v>
      </c>
      <c r="F69" s="3"/>
      <c r="G69" s="4">
        <v>45476</v>
      </c>
      <c r="H69" s="16"/>
      <c r="I69" s="6" t="s">
        <v>750</v>
      </c>
      <c r="J69" s="23"/>
    </row>
    <row r="70" spans="1:10" customFormat="1" ht="13.9" hidden="1">
      <c r="A70" s="4">
        <v>45475</v>
      </c>
      <c r="B70" s="4"/>
      <c r="C70" s="3" t="s">
        <v>918</v>
      </c>
      <c r="D70" s="48"/>
      <c r="E70" s="5" t="s">
        <v>919</v>
      </c>
      <c r="F70" s="3" t="s">
        <v>920</v>
      </c>
      <c r="G70" s="4">
        <v>45475</v>
      </c>
      <c r="H70" s="16"/>
      <c r="I70" s="6" t="s">
        <v>750</v>
      </c>
      <c r="J70" s="23"/>
    </row>
    <row r="71" spans="1:10" customFormat="1" ht="13.9" hidden="1">
      <c r="A71" s="4">
        <v>45475</v>
      </c>
      <c r="B71" s="4"/>
      <c r="C71" s="3" t="s">
        <v>921</v>
      </c>
      <c r="D71" s="48"/>
      <c r="E71" s="5" t="s">
        <v>919</v>
      </c>
      <c r="F71" s="3"/>
      <c r="G71" s="4">
        <v>45475</v>
      </c>
      <c r="H71" s="16"/>
      <c r="I71" s="6" t="s">
        <v>750</v>
      </c>
      <c r="J71" s="23"/>
    </row>
    <row r="72" spans="1:10" customFormat="1" ht="13.9" hidden="1">
      <c r="A72" s="4">
        <v>45475</v>
      </c>
      <c r="B72" s="4"/>
      <c r="C72" s="3" t="s">
        <v>922</v>
      </c>
      <c r="D72" s="48" t="s">
        <v>923</v>
      </c>
      <c r="E72" s="5" t="s">
        <v>748</v>
      </c>
      <c r="F72" s="3" t="s">
        <v>924</v>
      </c>
      <c r="G72" s="49">
        <v>45498</v>
      </c>
      <c r="H72" s="16"/>
      <c r="I72" s="6" t="s">
        <v>750</v>
      </c>
      <c r="J72" s="23"/>
    </row>
    <row r="73" spans="1:10" customFormat="1" ht="13.9" hidden="1">
      <c r="A73" s="4">
        <v>45475</v>
      </c>
      <c r="B73" s="4"/>
      <c r="C73" s="3" t="s">
        <v>925</v>
      </c>
      <c r="D73" s="48" t="s">
        <v>923</v>
      </c>
      <c r="E73" s="5" t="s">
        <v>748</v>
      </c>
      <c r="F73" s="3" t="s">
        <v>924</v>
      </c>
      <c r="G73" s="49">
        <v>45498</v>
      </c>
      <c r="H73" s="16"/>
      <c r="I73" s="6" t="s">
        <v>750</v>
      </c>
      <c r="J73" s="23"/>
    </row>
    <row r="74" spans="1:10" customFormat="1" ht="61.5" hidden="1">
      <c r="A74" s="4">
        <v>45473</v>
      </c>
      <c r="B74" s="4"/>
      <c r="C74" s="3" t="s">
        <v>926</v>
      </c>
      <c r="D74" s="48"/>
      <c r="E74" s="5"/>
      <c r="F74" s="3" t="s">
        <v>927</v>
      </c>
      <c r="G74" s="49">
        <v>45491</v>
      </c>
      <c r="H74" s="16"/>
      <c r="I74" s="6" t="s">
        <v>855</v>
      </c>
      <c r="J74" s="23"/>
    </row>
    <row r="75" spans="1:10" customFormat="1" ht="24.6" hidden="1">
      <c r="A75" s="4">
        <v>45477</v>
      </c>
      <c r="B75" s="4"/>
      <c r="C75" s="3" t="s">
        <v>928</v>
      </c>
      <c r="D75" s="48"/>
      <c r="E75" s="5" t="s">
        <v>748</v>
      </c>
      <c r="F75" s="3" t="s">
        <v>929</v>
      </c>
      <c r="G75" s="4">
        <v>45484</v>
      </c>
      <c r="H75" s="16"/>
      <c r="I75" s="6" t="s">
        <v>855</v>
      </c>
      <c r="J75" s="23"/>
    </row>
    <row r="76" spans="1:10" customFormat="1" ht="13.9" hidden="1">
      <c r="A76" s="4">
        <v>45477</v>
      </c>
      <c r="B76" s="4"/>
      <c r="C76" s="3" t="s">
        <v>930</v>
      </c>
      <c r="D76" s="48"/>
      <c r="E76" s="5" t="s">
        <v>748</v>
      </c>
      <c r="F76" s="3" t="s">
        <v>931</v>
      </c>
      <c r="G76" s="4">
        <v>45477</v>
      </c>
      <c r="H76" s="16"/>
      <c r="I76" s="6" t="s">
        <v>750</v>
      </c>
      <c r="J76" s="23"/>
    </row>
    <row r="77" spans="1:10" customFormat="1" ht="13.9" hidden="1">
      <c r="A77" s="4">
        <v>45477</v>
      </c>
      <c r="B77" s="4"/>
      <c r="C77" s="3" t="s">
        <v>932</v>
      </c>
      <c r="D77" s="48"/>
      <c r="E77" s="5"/>
      <c r="F77" s="3" t="s">
        <v>933</v>
      </c>
      <c r="G77" s="4"/>
      <c r="H77" s="16"/>
      <c r="I77" s="6" t="s">
        <v>855</v>
      </c>
      <c r="J77" s="23"/>
    </row>
    <row r="78" spans="1:10" customFormat="1" ht="24" hidden="1" customHeight="1">
      <c r="A78" s="4">
        <v>45482</v>
      </c>
      <c r="B78" s="4"/>
      <c r="C78" s="3" t="s">
        <v>934</v>
      </c>
      <c r="D78" s="48" t="s">
        <v>935</v>
      </c>
      <c r="E78" s="5" t="s">
        <v>936</v>
      </c>
      <c r="F78" s="3" t="s">
        <v>937</v>
      </c>
      <c r="G78" s="49">
        <v>45524</v>
      </c>
      <c r="H78" s="16"/>
      <c r="I78" s="6" t="s">
        <v>750</v>
      </c>
      <c r="J78" s="23"/>
    </row>
    <row r="79" spans="1:10" customFormat="1" ht="36.950000000000003" hidden="1">
      <c r="A79" s="4">
        <v>45488</v>
      </c>
      <c r="B79" s="4"/>
      <c r="C79" s="3" t="s">
        <v>938</v>
      </c>
      <c r="D79" s="48" t="s">
        <v>939</v>
      </c>
      <c r="E79" s="5" t="s">
        <v>748</v>
      </c>
      <c r="F79" s="3" t="s">
        <v>940</v>
      </c>
      <c r="G79" s="49">
        <v>45498</v>
      </c>
      <c r="H79" s="16"/>
      <c r="I79" s="6" t="s">
        <v>750</v>
      </c>
      <c r="J79" s="23"/>
    </row>
    <row r="80" spans="1:10" customFormat="1" ht="13.9" hidden="1">
      <c r="A80" s="4">
        <v>45488</v>
      </c>
      <c r="B80" s="4"/>
      <c r="C80" s="3" t="s">
        <v>941</v>
      </c>
      <c r="D80" s="48"/>
      <c r="E80" s="5" t="s">
        <v>794</v>
      </c>
      <c r="F80" s="3"/>
      <c r="G80" s="49">
        <v>45489</v>
      </c>
      <c r="H80" s="16"/>
      <c r="I80" s="6" t="s">
        <v>750</v>
      </c>
      <c r="J80" s="23"/>
    </row>
    <row r="81" spans="1:10" customFormat="1" ht="13.9" hidden="1">
      <c r="A81" s="4">
        <v>45489</v>
      </c>
      <c r="B81" s="4"/>
      <c r="C81" s="3" t="s">
        <v>942</v>
      </c>
      <c r="D81" s="48"/>
      <c r="E81" s="5" t="s">
        <v>748</v>
      </c>
      <c r="F81" s="3" t="s">
        <v>943</v>
      </c>
      <c r="G81" s="49">
        <v>45499</v>
      </c>
      <c r="H81" s="16"/>
      <c r="I81" s="6" t="s">
        <v>750</v>
      </c>
      <c r="J81" s="23"/>
    </row>
    <row r="82" spans="1:10" customFormat="1" ht="13.9" hidden="1">
      <c r="A82" s="4">
        <v>45489</v>
      </c>
      <c r="B82" s="4"/>
      <c r="C82" s="3" t="s">
        <v>944</v>
      </c>
      <c r="D82" s="48"/>
      <c r="E82" s="5"/>
      <c r="F82" s="3" t="s">
        <v>945</v>
      </c>
      <c r="G82" s="4">
        <v>45505</v>
      </c>
      <c r="H82" s="16"/>
      <c r="I82" s="6" t="s">
        <v>750</v>
      </c>
      <c r="J82" s="23"/>
    </row>
    <row r="83" spans="1:10" customFormat="1" ht="13.9" hidden="1">
      <c r="A83" s="4">
        <v>45489</v>
      </c>
      <c r="B83" s="4"/>
      <c r="C83" s="3" t="s">
        <v>946</v>
      </c>
      <c r="D83" s="48" t="s">
        <v>947</v>
      </c>
      <c r="E83" s="5"/>
      <c r="F83" s="3" t="s">
        <v>948</v>
      </c>
      <c r="G83" s="4"/>
      <c r="H83" s="16"/>
      <c r="I83" s="6" t="s">
        <v>750</v>
      </c>
      <c r="J83" s="23"/>
    </row>
    <row r="84" spans="1:10" customFormat="1" ht="49.15" hidden="1">
      <c r="A84" s="4">
        <v>45491</v>
      </c>
      <c r="B84" s="4"/>
      <c r="C84" s="3" t="s">
        <v>949</v>
      </c>
      <c r="D84" s="48"/>
      <c r="E84" s="5" t="s">
        <v>748</v>
      </c>
      <c r="F84" s="3"/>
      <c r="G84" s="4"/>
      <c r="H84" s="16"/>
      <c r="I84" s="6" t="s">
        <v>842</v>
      </c>
      <c r="J84" s="23"/>
    </row>
    <row r="85" spans="1:10" customFormat="1" ht="13.9" hidden="1">
      <c r="A85" s="4">
        <v>45503</v>
      </c>
      <c r="B85" s="4"/>
      <c r="C85" s="3" t="s">
        <v>950</v>
      </c>
      <c r="D85" s="48" t="s">
        <v>939</v>
      </c>
      <c r="E85" s="5" t="s">
        <v>748</v>
      </c>
      <c r="F85" s="3" t="s">
        <v>951</v>
      </c>
      <c r="G85" s="49">
        <v>45506</v>
      </c>
      <c r="H85" s="16"/>
      <c r="I85" s="6" t="s">
        <v>750</v>
      </c>
      <c r="J85" s="23"/>
    </row>
    <row r="86" spans="1:10" customFormat="1" ht="13.9" hidden="1">
      <c r="A86" s="4">
        <v>45509</v>
      </c>
      <c r="B86" s="4"/>
      <c r="C86" s="3" t="s">
        <v>952</v>
      </c>
      <c r="D86" s="48" t="s">
        <v>939</v>
      </c>
      <c r="E86" s="5" t="s">
        <v>748</v>
      </c>
      <c r="F86" s="3"/>
      <c r="G86" s="49">
        <v>45511</v>
      </c>
      <c r="H86" s="16"/>
      <c r="I86" s="6" t="s">
        <v>750</v>
      </c>
      <c r="J86" s="23"/>
    </row>
    <row r="87" spans="1:10" customFormat="1" ht="24.6" hidden="1">
      <c r="A87" s="4">
        <v>45509</v>
      </c>
      <c r="B87" s="4"/>
      <c r="C87" s="3" t="s">
        <v>953</v>
      </c>
      <c r="D87" s="48" t="s">
        <v>939</v>
      </c>
      <c r="E87" s="5" t="s">
        <v>748</v>
      </c>
      <c r="F87" s="3" t="s">
        <v>954</v>
      </c>
      <c r="G87" s="49">
        <v>45512</v>
      </c>
      <c r="H87" s="16"/>
      <c r="I87" s="6" t="s">
        <v>855</v>
      </c>
      <c r="J87" s="23"/>
    </row>
    <row r="88" spans="1:10" customFormat="1" ht="13.9" hidden="1">
      <c r="A88" s="4">
        <v>45511</v>
      </c>
      <c r="B88" s="4"/>
      <c r="C88" s="3" t="s">
        <v>955</v>
      </c>
      <c r="D88" s="48" t="s">
        <v>956</v>
      </c>
      <c r="E88" s="5"/>
      <c r="F88" s="3" t="s">
        <v>957</v>
      </c>
      <c r="G88" s="49">
        <v>45513</v>
      </c>
      <c r="H88" s="16"/>
      <c r="I88" s="6" t="s">
        <v>855</v>
      </c>
      <c r="J88" s="23"/>
    </row>
    <row r="89" spans="1:10" customFormat="1" ht="24.6" hidden="1">
      <c r="A89" s="4">
        <v>45516</v>
      </c>
      <c r="B89" s="4"/>
      <c r="C89" s="3" t="s">
        <v>958</v>
      </c>
      <c r="D89" s="48" t="s">
        <v>959</v>
      </c>
      <c r="E89" s="5" t="s">
        <v>748</v>
      </c>
      <c r="F89" s="3"/>
      <c r="G89" s="4">
        <v>45518</v>
      </c>
      <c r="H89" s="16"/>
      <c r="I89" s="6" t="s">
        <v>855</v>
      </c>
      <c r="J89" s="23"/>
    </row>
    <row r="90" spans="1:10" customFormat="1" ht="13.9" hidden="1">
      <c r="A90" s="4">
        <v>45523</v>
      </c>
      <c r="B90" s="4"/>
      <c r="C90" s="3" t="s">
        <v>960</v>
      </c>
      <c r="D90" s="48"/>
      <c r="E90" s="5"/>
      <c r="F90" s="3"/>
      <c r="G90" s="4"/>
      <c r="H90" s="16"/>
      <c r="I90" s="6" t="s">
        <v>855</v>
      </c>
      <c r="J90" s="23"/>
    </row>
    <row r="91" spans="1:10" customFormat="1" ht="24.6" hidden="1">
      <c r="A91" s="4">
        <v>45524</v>
      </c>
      <c r="B91" s="4"/>
      <c r="C91" s="3" t="s">
        <v>961</v>
      </c>
      <c r="D91" s="48"/>
      <c r="E91" s="5"/>
      <c r="F91" s="3"/>
      <c r="G91" s="49">
        <v>45526</v>
      </c>
      <c r="H91" s="16"/>
      <c r="I91" s="6" t="s">
        <v>750</v>
      </c>
      <c r="J91" s="23"/>
    </row>
    <row r="92" spans="1:10" customFormat="1" ht="24.6" hidden="1">
      <c r="A92" s="4">
        <v>45524</v>
      </c>
      <c r="B92" s="4"/>
      <c r="C92" s="3" t="s">
        <v>962</v>
      </c>
      <c r="D92" s="48"/>
      <c r="E92" s="5"/>
      <c r="F92" s="3"/>
      <c r="G92" s="49">
        <v>45526</v>
      </c>
      <c r="H92" s="16"/>
      <c r="I92" s="6" t="s">
        <v>750</v>
      </c>
      <c r="J92" s="23"/>
    </row>
    <row r="93" spans="1:10" customFormat="1" ht="24.6" hidden="1">
      <c r="A93" s="4">
        <v>45533</v>
      </c>
      <c r="B93" s="4"/>
      <c r="C93" s="3" t="s">
        <v>963</v>
      </c>
      <c r="D93" s="48" t="s">
        <v>964</v>
      </c>
      <c r="E93" s="5"/>
      <c r="F93" s="3"/>
      <c r="G93" s="49">
        <v>45569</v>
      </c>
      <c r="H93" s="16"/>
      <c r="I93" s="6" t="s">
        <v>750</v>
      </c>
      <c r="J93" s="23"/>
    </row>
    <row r="94" spans="1:10" customFormat="1" ht="13.9" hidden="1">
      <c r="A94" s="4">
        <v>45525</v>
      </c>
      <c r="B94" s="4"/>
      <c r="C94" s="3" t="s">
        <v>965</v>
      </c>
      <c r="D94" s="48"/>
      <c r="E94" s="5" t="s">
        <v>748</v>
      </c>
      <c r="F94" s="3"/>
      <c r="G94" s="49">
        <v>45526</v>
      </c>
      <c r="H94" s="16"/>
      <c r="I94" s="6" t="s">
        <v>750</v>
      </c>
      <c r="J94" s="23"/>
    </row>
    <row r="95" spans="1:10" customFormat="1" ht="13.9" hidden="1">
      <c r="A95" s="4">
        <v>45531</v>
      </c>
      <c r="B95" s="4"/>
      <c r="C95" s="3" t="s">
        <v>966</v>
      </c>
      <c r="D95" s="48" t="s">
        <v>967</v>
      </c>
      <c r="E95" s="5"/>
      <c r="F95" s="3"/>
      <c r="G95" s="49"/>
      <c r="H95" s="16"/>
      <c r="I95" s="6" t="s">
        <v>750</v>
      </c>
      <c r="J95" s="23"/>
    </row>
    <row r="96" spans="1:10" customFormat="1" ht="13.9" hidden="1">
      <c r="A96" s="4">
        <v>45533</v>
      </c>
      <c r="B96" s="4" t="s">
        <v>968</v>
      </c>
      <c r="C96" s="3" t="s">
        <v>969</v>
      </c>
      <c r="D96" s="48" t="s">
        <v>970</v>
      </c>
      <c r="E96" s="5"/>
      <c r="F96" s="3"/>
      <c r="G96" s="49">
        <v>45582</v>
      </c>
      <c r="H96" s="16"/>
      <c r="I96" s="6" t="s">
        <v>855</v>
      </c>
      <c r="J96" s="23"/>
    </row>
    <row r="97" spans="1:10" customFormat="1" ht="13.9" hidden="1">
      <c r="A97" s="4">
        <v>45533</v>
      </c>
      <c r="B97" s="4"/>
      <c r="C97" s="3" t="s">
        <v>971</v>
      </c>
      <c r="D97" s="48"/>
      <c r="E97" s="5"/>
      <c r="F97" s="3"/>
      <c r="G97" s="49"/>
      <c r="H97" s="16"/>
      <c r="I97" s="6" t="s">
        <v>750</v>
      </c>
      <c r="J97" s="23"/>
    </row>
    <row r="98" spans="1:10" customFormat="1" ht="13.9" hidden="1">
      <c r="A98" s="4">
        <v>45538</v>
      </c>
      <c r="B98" s="4"/>
      <c r="C98" s="3" t="s">
        <v>972</v>
      </c>
      <c r="D98" s="48"/>
      <c r="E98" s="5"/>
      <c r="F98" s="3"/>
      <c r="G98" s="49"/>
      <c r="H98" s="16"/>
      <c r="I98" s="6" t="s">
        <v>750</v>
      </c>
      <c r="J98" s="23"/>
    </row>
    <row r="99" spans="1:10" customFormat="1" ht="13.9" hidden="1">
      <c r="A99" s="4">
        <v>45547</v>
      </c>
      <c r="B99" s="4"/>
      <c r="C99" s="3" t="s">
        <v>973</v>
      </c>
      <c r="D99" s="48"/>
      <c r="E99" s="5"/>
      <c r="F99" s="3"/>
      <c r="G99" s="49"/>
      <c r="H99" s="16"/>
      <c r="I99" s="6" t="s">
        <v>750</v>
      </c>
      <c r="J99" s="23"/>
    </row>
    <row r="100" spans="1:10" ht="24.6">
      <c r="A100" s="56">
        <v>45552</v>
      </c>
      <c r="B100" s="56" t="s">
        <v>16</v>
      </c>
      <c r="C100" s="6" t="s">
        <v>974</v>
      </c>
      <c r="D100" s="102" t="s">
        <v>975</v>
      </c>
      <c r="E100" s="6" t="s">
        <v>19</v>
      </c>
      <c r="F100" s="6"/>
      <c r="G100" s="103"/>
      <c r="H100" s="59"/>
      <c r="I100" s="6" t="s">
        <v>976</v>
      </c>
      <c r="J100" s="23"/>
    </row>
    <row r="101" spans="1:10" customFormat="1" ht="14.25" hidden="1" customHeight="1">
      <c r="A101" s="4"/>
      <c r="B101" s="4"/>
      <c r="C101" s="3" t="s">
        <v>977</v>
      </c>
      <c r="D101" s="48"/>
      <c r="E101" s="5"/>
      <c r="F101" s="3"/>
      <c r="G101" s="49"/>
      <c r="H101" s="16"/>
      <c r="I101" s="6" t="s">
        <v>750</v>
      </c>
      <c r="J101" s="23"/>
    </row>
    <row r="102" spans="1:10" customFormat="1" ht="14.25" hidden="1" customHeight="1">
      <c r="A102" s="4">
        <v>45530</v>
      </c>
      <c r="B102" s="4"/>
      <c r="C102" s="3" t="s">
        <v>978</v>
      </c>
      <c r="D102" s="48"/>
      <c r="E102" s="5"/>
      <c r="F102" s="3"/>
      <c r="G102" s="49"/>
      <c r="H102" s="16"/>
      <c r="I102" s="6" t="s">
        <v>750</v>
      </c>
      <c r="J102" s="23"/>
    </row>
    <row r="103" spans="1:10" ht="30" customHeight="1">
      <c r="A103" s="56">
        <v>45573</v>
      </c>
      <c r="B103" s="56" t="s">
        <v>16</v>
      </c>
      <c r="C103" s="26" t="s">
        <v>17</v>
      </c>
      <c r="D103" s="6" t="s">
        <v>979</v>
      </c>
      <c r="E103" s="6" t="s">
        <v>19</v>
      </c>
      <c r="F103" s="6" t="s">
        <v>18</v>
      </c>
      <c r="G103" s="103"/>
      <c r="H103" s="59"/>
      <c r="I103" s="6" t="s">
        <v>976</v>
      </c>
      <c r="J103" s="23"/>
    </row>
    <row r="104" spans="1:10" ht="25.5" hidden="1" customHeight="1">
      <c r="A104" s="56">
        <v>45575</v>
      </c>
      <c r="B104" s="56" t="s">
        <v>16</v>
      </c>
      <c r="C104" s="56" t="s">
        <v>980</v>
      </c>
      <c r="D104" s="6" t="s">
        <v>981</v>
      </c>
      <c r="E104" s="6" t="s">
        <v>30</v>
      </c>
      <c r="F104" s="6" t="s">
        <v>982</v>
      </c>
      <c r="G104" s="103">
        <v>45635</v>
      </c>
      <c r="H104" s="59"/>
      <c r="I104" s="58" t="s">
        <v>750</v>
      </c>
      <c r="J104" s="23"/>
    </row>
    <row r="105" spans="1:10" customFormat="1" ht="14.25" hidden="1" customHeight="1">
      <c r="A105" s="4">
        <v>45582</v>
      </c>
      <c r="B105" s="4" t="s">
        <v>983</v>
      </c>
      <c r="C105" s="4" t="s">
        <v>984</v>
      </c>
      <c r="D105" s="3"/>
      <c r="E105" s="5"/>
      <c r="F105" s="3"/>
      <c r="G105" s="49"/>
      <c r="H105" s="16"/>
      <c r="I105" s="6" t="s">
        <v>855</v>
      </c>
      <c r="J105" s="23"/>
    </row>
    <row r="106" spans="1:10" customFormat="1" ht="14.25" hidden="1" customHeight="1">
      <c r="A106" s="4">
        <v>45582</v>
      </c>
      <c r="B106" s="4" t="s">
        <v>968</v>
      </c>
      <c r="C106" s="4" t="s">
        <v>985</v>
      </c>
      <c r="D106" s="3" t="s">
        <v>986</v>
      </c>
      <c r="E106" s="5"/>
      <c r="F106" s="3"/>
      <c r="G106" s="49"/>
      <c r="H106" s="16"/>
      <c r="I106" s="6" t="s">
        <v>855</v>
      </c>
      <c r="J106" s="23"/>
    </row>
    <row r="107" spans="1:10" ht="37.5" customHeight="1">
      <c r="A107" s="56">
        <v>45601</v>
      </c>
      <c r="B107" s="56" t="s">
        <v>22</v>
      </c>
      <c r="C107" s="26" t="s">
        <v>23</v>
      </c>
      <c r="D107" s="6" t="s">
        <v>987</v>
      </c>
      <c r="E107" s="6" t="s">
        <v>988</v>
      </c>
      <c r="F107" s="6" t="s">
        <v>989</v>
      </c>
      <c r="G107" s="57">
        <v>45638</v>
      </c>
      <c r="H107" s="59"/>
      <c r="I107" s="6" t="s">
        <v>976</v>
      </c>
      <c r="J107" s="23"/>
    </row>
    <row r="108" spans="1:10" ht="51.75" hidden="1" customHeight="1">
      <c r="A108" s="56">
        <v>45587</v>
      </c>
      <c r="B108" s="56" t="s">
        <v>27</v>
      </c>
      <c r="C108" s="56" t="s">
        <v>990</v>
      </c>
      <c r="D108" s="6" t="s">
        <v>991</v>
      </c>
      <c r="E108" s="65" t="s">
        <v>66</v>
      </c>
      <c r="F108" s="65" t="s">
        <v>992</v>
      </c>
      <c r="G108" s="57">
        <v>45680</v>
      </c>
      <c r="H108" s="59"/>
      <c r="I108" s="6" t="s">
        <v>842</v>
      </c>
      <c r="J108" s="23"/>
    </row>
    <row r="109" spans="1:10" ht="29.25" hidden="1" customHeight="1">
      <c r="A109" s="56">
        <v>45601</v>
      </c>
      <c r="B109" s="56" t="s">
        <v>112</v>
      </c>
      <c r="C109" s="56" t="s">
        <v>993</v>
      </c>
      <c r="D109" s="6" t="s">
        <v>994</v>
      </c>
      <c r="E109" s="6" t="s">
        <v>25</v>
      </c>
      <c r="F109" s="6"/>
      <c r="G109" s="103"/>
      <c r="H109" s="59"/>
      <c r="I109" s="6" t="s">
        <v>750</v>
      </c>
      <c r="J109" s="23"/>
    </row>
    <row r="110" spans="1:10" ht="27" hidden="1" customHeight="1">
      <c r="A110" s="56">
        <v>45601</v>
      </c>
      <c r="B110" s="56" t="s">
        <v>32</v>
      </c>
      <c r="C110" s="56" t="s">
        <v>995</v>
      </c>
      <c r="D110" s="6" t="s">
        <v>996</v>
      </c>
      <c r="E110" s="6" t="s">
        <v>35</v>
      </c>
      <c r="F110" s="58" t="s">
        <v>997</v>
      </c>
      <c r="G110" s="103">
        <v>45646</v>
      </c>
      <c r="H110" s="59"/>
      <c r="I110" s="6" t="s">
        <v>750</v>
      </c>
      <c r="J110" s="23"/>
    </row>
    <row r="111" spans="1:10" ht="26.25" hidden="1" customHeight="1">
      <c r="A111" s="56">
        <v>45603</v>
      </c>
      <c r="B111" s="56" t="s">
        <v>998</v>
      </c>
      <c r="C111" s="26" t="s">
        <v>999</v>
      </c>
      <c r="D111" s="6"/>
      <c r="E111" s="6" t="s">
        <v>19</v>
      </c>
      <c r="F111" s="6" t="s">
        <v>1000</v>
      </c>
      <c r="G111" s="62" t="s">
        <v>1001</v>
      </c>
      <c r="H111" s="59"/>
      <c r="I111" s="6" t="s">
        <v>750</v>
      </c>
      <c r="J111" s="23"/>
    </row>
    <row r="112" spans="1:10" ht="14.25" hidden="1" customHeight="1">
      <c r="A112" s="1">
        <v>45603</v>
      </c>
      <c r="B112" s="1" t="s">
        <v>112</v>
      </c>
      <c r="C112" s="1" t="s">
        <v>1002</v>
      </c>
      <c r="D112" s="3"/>
      <c r="E112" s="2"/>
      <c r="F112" s="3"/>
      <c r="G112" s="104"/>
      <c r="H112" s="16"/>
      <c r="I112" s="6" t="s">
        <v>855</v>
      </c>
      <c r="J112" s="23"/>
    </row>
    <row r="113" spans="1:9" ht="14.25" hidden="1" customHeight="1">
      <c r="A113" s="56"/>
      <c r="B113" s="56" t="s">
        <v>520</v>
      </c>
      <c r="C113" s="56" t="s">
        <v>1003</v>
      </c>
      <c r="D113" s="6"/>
      <c r="E113" s="6" t="s">
        <v>66</v>
      </c>
      <c r="F113" s="58" t="s">
        <v>1004</v>
      </c>
      <c r="G113" s="103">
        <v>45630</v>
      </c>
      <c r="H113" s="59"/>
      <c r="I113" s="6" t="s">
        <v>750</v>
      </c>
    </row>
    <row r="114" spans="1:9" ht="14.25" hidden="1" customHeight="1">
      <c r="A114" s="56"/>
      <c r="B114" s="56" t="s">
        <v>1005</v>
      </c>
      <c r="C114" s="56" t="s">
        <v>1006</v>
      </c>
      <c r="D114" s="6"/>
      <c r="E114" s="6" t="s">
        <v>66</v>
      </c>
      <c r="F114" s="58" t="s">
        <v>1004</v>
      </c>
      <c r="G114" s="103">
        <v>45630</v>
      </c>
      <c r="H114" s="59"/>
      <c r="I114" s="6" t="s">
        <v>750</v>
      </c>
    </row>
    <row r="115" spans="1:9" ht="28.5" hidden="1" customHeight="1">
      <c r="A115" s="56">
        <v>45622</v>
      </c>
      <c r="B115" s="56" t="s">
        <v>32</v>
      </c>
      <c r="C115" s="56" t="s">
        <v>1007</v>
      </c>
      <c r="D115" s="6" t="s">
        <v>1008</v>
      </c>
      <c r="E115" s="6" t="s">
        <v>30</v>
      </c>
      <c r="F115" s="58" t="s">
        <v>1009</v>
      </c>
      <c r="G115" s="103"/>
      <c r="H115" s="59"/>
      <c r="I115" s="6" t="s">
        <v>750</v>
      </c>
    </row>
    <row r="116" spans="1:9" ht="28.5" hidden="1" customHeight="1">
      <c r="A116" s="56">
        <v>45622</v>
      </c>
      <c r="B116" s="56" t="s">
        <v>32</v>
      </c>
      <c r="C116" s="56" t="s">
        <v>1010</v>
      </c>
      <c r="D116" s="6"/>
      <c r="E116" s="6" t="s">
        <v>30</v>
      </c>
      <c r="F116" s="58" t="s">
        <v>1009</v>
      </c>
      <c r="G116" s="103"/>
      <c r="H116" s="59"/>
      <c r="I116" s="6" t="s">
        <v>750</v>
      </c>
    </row>
    <row r="117" spans="1:9" ht="27.6" hidden="1" customHeight="1">
      <c r="A117" s="56">
        <v>45622</v>
      </c>
      <c r="B117" s="56" t="s">
        <v>32</v>
      </c>
      <c r="C117" s="56" t="s">
        <v>1011</v>
      </c>
      <c r="D117" s="6" t="s">
        <v>1012</v>
      </c>
      <c r="E117" s="6" t="s">
        <v>30</v>
      </c>
      <c r="F117" s="58" t="s">
        <v>1009</v>
      </c>
      <c r="G117" s="103">
        <v>45629</v>
      </c>
      <c r="H117" s="59"/>
      <c r="I117" s="6" t="s">
        <v>750</v>
      </c>
    </row>
    <row r="118" spans="1:9" ht="14.25" hidden="1" customHeight="1">
      <c r="A118" s="56">
        <v>45638</v>
      </c>
      <c r="B118" s="56" t="s">
        <v>1013</v>
      </c>
      <c r="C118" s="26" t="s">
        <v>1014</v>
      </c>
      <c r="D118" s="6"/>
      <c r="E118" s="6"/>
      <c r="F118" s="58" t="s">
        <v>1009</v>
      </c>
      <c r="G118" s="62"/>
      <c r="H118" s="59"/>
      <c r="I118" s="6" t="s">
        <v>750</v>
      </c>
    </row>
    <row r="119" spans="1:9" ht="14.25" hidden="1" customHeight="1">
      <c r="A119" s="56">
        <v>45638</v>
      </c>
      <c r="B119" s="56" t="s">
        <v>1013</v>
      </c>
      <c r="C119" s="26" t="s">
        <v>1015</v>
      </c>
      <c r="D119" s="6"/>
      <c r="E119" s="6"/>
      <c r="F119" s="58" t="s">
        <v>1009</v>
      </c>
      <c r="G119" s="62"/>
      <c r="H119" s="59"/>
      <c r="I119" s="6" t="s">
        <v>750</v>
      </c>
    </row>
    <row r="120" spans="1:9" ht="14.25" hidden="1" customHeight="1">
      <c r="A120" s="56">
        <v>45642</v>
      </c>
      <c r="B120" s="56" t="s">
        <v>1016</v>
      </c>
      <c r="C120" s="26" t="s">
        <v>1017</v>
      </c>
      <c r="D120" s="6"/>
      <c r="E120" s="6" t="s">
        <v>66</v>
      </c>
      <c r="F120" s="105" t="s">
        <v>1018</v>
      </c>
      <c r="G120" s="62">
        <v>45646</v>
      </c>
      <c r="H120" s="59"/>
      <c r="I120" s="6" t="s">
        <v>750</v>
      </c>
    </row>
    <row r="121" spans="1:9" ht="13.9" hidden="1">
      <c r="A121" s="56">
        <v>45642</v>
      </c>
      <c r="B121" s="56" t="s">
        <v>88</v>
      </c>
      <c r="C121" s="64" t="s">
        <v>1019</v>
      </c>
      <c r="D121" s="6" t="s">
        <v>1020</v>
      </c>
      <c r="E121" s="6" t="s">
        <v>1021</v>
      </c>
      <c r="F121" s="105" t="s">
        <v>1022</v>
      </c>
      <c r="G121" s="57"/>
      <c r="H121" s="59"/>
      <c r="I121" s="6" t="s">
        <v>750</v>
      </c>
    </row>
    <row r="122" spans="1:9" ht="27.6" hidden="1" customHeight="1">
      <c r="A122" s="56">
        <v>45642</v>
      </c>
      <c r="B122" s="56" t="s">
        <v>32</v>
      </c>
      <c r="C122" s="56" t="s">
        <v>1023</v>
      </c>
      <c r="D122" s="6" t="s">
        <v>99</v>
      </c>
      <c r="E122" s="6"/>
      <c r="F122" s="58" t="s">
        <v>1024</v>
      </c>
      <c r="G122" s="57">
        <v>45643</v>
      </c>
      <c r="H122" s="59"/>
      <c r="I122" s="6" t="s">
        <v>750</v>
      </c>
    </row>
    <row r="123" spans="1:9" ht="27.6" customHeight="1">
      <c r="A123" s="56">
        <v>45642</v>
      </c>
      <c r="B123" s="56" t="s">
        <v>27</v>
      </c>
      <c r="C123" s="56" t="s">
        <v>28</v>
      </c>
      <c r="D123" s="6"/>
      <c r="E123" s="6" t="s">
        <v>30</v>
      </c>
      <c r="F123" s="6" t="s">
        <v>1025</v>
      </c>
      <c r="G123" s="57">
        <v>45678</v>
      </c>
      <c r="H123" s="59"/>
      <c r="I123" s="6" t="s">
        <v>1026</v>
      </c>
    </row>
    <row r="124" spans="1:9" ht="27.6" customHeight="1">
      <c r="A124" s="56">
        <v>45670</v>
      </c>
      <c r="B124" s="56" t="s">
        <v>32</v>
      </c>
      <c r="C124" s="56" t="s">
        <v>33</v>
      </c>
      <c r="D124" s="6" t="s">
        <v>1027</v>
      </c>
      <c r="E124" s="6" t="s">
        <v>35</v>
      </c>
      <c r="F124" s="6" t="s">
        <v>1028</v>
      </c>
      <c r="G124" s="57">
        <v>45670</v>
      </c>
      <c r="H124" s="59"/>
      <c r="I124" s="6" t="s">
        <v>1026</v>
      </c>
    </row>
    <row r="125" spans="1:9" ht="27.6" customHeight="1">
      <c r="A125" s="56">
        <v>45670</v>
      </c>
      <c r="B125" s="56" t="s">
        <v>32</v>
      </c>
      <c r="C125" s="26" t="s">
        <v>36</v>
      </c>
      <c r="D125" s="6"/>
      <c r="E125" s="6" t="s">
        <v>35</v>
      </c>
      <c r="F125" s="6" t="s">
        <v>37</v>
      </c>
      <c r="G125" s="62"/>
      <c r="H125" s="59"/>
      <c r="I125" s="6" t="s">
        <v>1026</v>
      </c>
    </row>
    <row r="126" spans="1:9" ht="27.6" customHeight="1">
      <c r="A126" s="56">
        <v>45670</v>
      </c>
      <c r="B126" s="56" t="s">
        <v>32</v>
      </c>
      <c r="C126" s="26" t="s">
        <v>38</v>
      </c>
      <c r="D126" s="6"/>
      <c r="E126" s="6" t="s">
        <v>39</v>
      </c>
      <c r="F126" s="6"/>
      <c r="G126" s="62"/>
      <c r="H126" s="59"/>
      <c r="I126" s="6" t="s">
        <v>976</v>
      </c>
    </row>
    <row r="127" spans="1:9" ht="26.25" customHeight="1">
      <c r="A127" s="56">
        <v>45670</v>
      </c>
      <c r="B127" s="56" t="s">
        <v>40</v>
      </c>
      <c r="C127" s="56" t="s">
        <v>41</v>
      </c>
      <c r="D127" s="6"/>
      <c r="E127" s="6" t="s">
        <v>1029</v>
      </c>
      <c r="F127" s="6" t="s">
        <v>42</v>
      </c>
      <c r="G127" s="57">
        <v>45684</v>
      </c>
      <c r="H127" s="59"/>
      <c r="I127" s="6" t="s">
        <v>1026</v>
      </c>
    </row>
    <row r="128" spans="1:9" ht="32.25" hidden="1" customHeight="1">
      <c r="A128" s="56">
        <v>45670</v>
      </c>
      <c r="B128" s="56" t="s">
        <v>1030</v>
      </c>
      <c r="C128" s="56" t="s">
        <v>1031</v>
      </c>
      <c r="D128" s="6" t="s">
        <v>1032</v>
      </c>
      <c r="E128" s="6" t="s">
        <v>104</v>
      </c>
      <c r="F128" s="6"/>
      <c r="G128" s="57"/>
      <c r="H128" s="59"/>
      <c r="I128" s="6" t="s">
        <v>842</v>
      </c>
    </row>
    <row r="129" spans="1:9" ht="31.5" hidden="1" customHeight="1">
      <c r="A129" s="56">
        <v>45692</v>
      </c>
      <c r="B129" s="56" t="s">
        <v>1033</v>
      </c>
      <c r="C129" s="66" t="s">
        <v>1034</v>
      </c>
      <c r="D129" s="106" t="s">
        <v>1035</v>
      </c>
      <c r="E129" s="6"/>
      <c r="F129" s="6" t="s">
        <v>1036</v>
      </c>
      <c r="G129" s="57"/>
      <c r="H129" s="59">
        <v>1</v>
      </c>
      <c r="I129" s="6" t="s">
        <v>750</v>
      </c>
    </row>
    <row r="130" spans="1:9" ht="30" hidden="1" customHeight="1">
      <c r="A130" s="56">
        <v>45692</v>
      </c>
      <c r="B130" s="56" t="s">
        <v>46</v>
      </c>
      <c r="C130" s="26" t="s">
        <v>1037</v>
      </c>
      <c r="D130" s="6" t="s">
        <v>1038</v>
      </c>
      <c r="E130" s="6"/>
      <c r="F130" s="6" t="s">
        <v>1039</v>
      </c>
      <c r="G130" s="57"/>
      <c r="H130" s="68"/>
      <c r="I130" s="6" t="s">
        <v>750</v>
      </c>
    </row>
    <row r="131" spans="1:9" ht="31.5" hidden="1" customHeight="1">
      <c r="A131" s="56">
        <v>45679</v>
      </c>
      <c r="B131" s="56" t="s">
        <v>46</v>
      </c>
      <c r="C131" s="26" t="s">
        <v>1040</v>
      </c>
      <c r="D131" s="6" t="s">
        <v>1041</v>
      </c>
      <c r="E131" s="6" t="s">
        <v>1042</v>
      </c>
      <c r="F131" s="6" t="s">
        <v>1043</v>
      </c>
      <c r="G131" s="57"/>
      <c r="H131" s="68"/>
      <c r="I131" s="6" t="s">
        <v>750</v>
      </c>
    </row>
    <row r="132" spans="1:9" ht="27" hidden="1" customHeight="1">
      <c r="A132" s="56">
        <v>45692</v>
      </c>
      <c r="B132" s="56" t="s">
        <v>46</v>
      </c>
      <c r="C132" s="66" t="s">
        <v>1044</v>
      </c>
      <c r="D132" s="6" t="s">
        <v>1045</v>
      </c>
      <c r="E132" s="6"/>
      <c r="F132" s="6" t="s">
        <v>1046</v>
      </c>
      <c r="G132" s="67">
        <v>45700</v>
      </c>
      <c r="H132" s="59"/>
      <c r="I132" s="6" t="s">
        <v>750</v>
      </c>
    </row>
    <row r="133" spans="1:9" ht="28.5" customHeight="1">
      <c r="A133" s="56">
        <v>45670</v>
      </c>
      <c r="B133" s="56" t="s">
        <v>40</v>
      </c>
      <c r="C133" s="56" t="s">
        <v>43</v>
      </c>
      <c r="D133" s="6"/>
      <c r="E133" s="6" t="s">
        <v>1047</v>
      </c>
      <c r="F133" s="6" t="s">
        <v>44</v>
      </c>
      <c r="G133" s="57">
        <v>45686</v>
      </c>
      <c r="H133" s="59"/>
      <c r="I133" s="6" t="s">
        <v>1026</v>
      </c>
    </row>
    <row r="134" spans="1:9" ht="28.5" hidden="1" customHeight="1">
      <c r="A134" s="56">
        <v>45679</v>
      </c>
      <c r="B134" s="56" t="s">
        <v>1048</v>
      </c>
      <c r="C134" s="26" t="s">
        <v>1049</v>
      </c>
      <c r="D134" s="6" t="s">
        <v>1050</v>
      </c>
      <c r="E134" s="6"/>
      <c r="F134" s="6" t="s">
        <v>1051</v>
      </c>
      <c r="G134" s="57"/>
      <c r="H134" s="59"/>
      <c r="I134" s="6" t="s">
        <v>750</v>
      </c>
    </row>
    <row r="135" spans="1:9" ht="28.5" customHeight="1">
      <c r="A135" s="56">
        <v>45679</v>
      </c>
      <c r="B135" s="56" t="s">
        <v>46</v>
      </c>
      <c r="C135" s="26" t="s">
        <v>47</v>
      </c>
      <c r="D135" s="6"/>
      <c r="E135" s="6" t="s">
        <v>446</v>
      </c>
      <c r="F135" s="6" t="s">
        <v>1052</v>
      </c>
      <c r="G135" s="57"/>
      <c r="H135" s="59">
        <v>2</v>
      </c>
      <c r="I135" s="6" t="s">
        <v>1026</v>
      </c>
    </row>
    <row r="136" spans="1:9" ht="26.25" customHeight="1">
      <c r="A136" s="56">
        <v>45708</v>
      </c>
      <c r="B136" s="56" t="s">
        <v>46</v>
      </c>
      <c r="C136" s="26" t="s">
        <v>1053</v>
      </c>
      <c r="D136" s="6"/>
      <c r="E136" s="6" t="s">
        <v>35</v>
      </c>
      <c r="F136" s="6" t="s">
        <v>50</v>
      </c>
      <c r="G136" s="57"/>
      <c r="H136" s="59">
        <v>1</v>
      </c>
      <c r="I136" s="6" t="s">
        <v>1026</v>
      </c>
    </row>
    <row r="137" spans="1:9" ht="30.75" hidden="1" customHeight="1">
      <c r="A137" s="107">
        <v>45706</v>
      </c>
      <c r="B137" s="107" t="s">
        <v>46</v>
      </c>
      <c r="C137" s="73" t="s">
        <v>1054</v>
      </c>
      <c r="D137" s="76"/>
      <c r="E137" s="76" t="s">
        <v>446</v>
      </c>
      <c r="F137" s="76"/>
      <c r="G137" s="74">
        <v>45706</v>
      </c>
      <c r="H137" s="75"/>
      <c r="I137" s="76" t="s">
        <v>750</v>
      </c>
    </row>
    <row r="138" spans="1:9" ht="33.75" hidden="1" customHeight="1">
      <c r="A138" s="108">
        <v>45713</v>
      </c>
      <c r="B138" s="108" t="s">
        <v>46</v>
      </c>
      <c r="C138" s="69" t="s">
        <v>1055</v>
      </c>
      <c r="D138" s="72"/>
      <c r="E138" s="72"/>
      <c r="F138" s="72"/>
      <c r="G138" s="70"/>
      <c r="H138" s="71"/>
      <c r="I138" s="72" t="s">
        <v>750</v>
      </c>
    </row>
    <row r="139" spans="1:9" ht="27" customHeight="1">
      <c r="A139" s="108">
        <v>45713</v>
      </c>
      <c r="B139" s="108" t="s">
        <v>46</v>
      </c>
      <c r="C139" s="69" t="s">
        <v>55</v>
      </c>
      <c r="D139" s="72"/>
      <c r="E139" s="72"/>
      <c r="F139" s="72"/>
      <c r="G139" s="70"/>
      <c r="H139" s="71"/>
      <c r="I139" s="72" t="s">
        <v>750</v>
      </c>
    </row>
    <row r="140" spans="1:9" ht="29.25" customHeight="1">
      <c r="A140" s="108">
        <v>45708</v>
      </c>
      <c r="B140" s="108" t="s">
        <v>46</v>
      </c>
      <c r="C140" s="69" t="s">
        <v>57</v>
      </c>
      <c r="D140" s="72" t="s">
        <v>1056</v>
      </c>
      <c r="E140" s="72" t="s">
        <v>1057</v>
      </c>
      <c r="F140" s="72" t="s">
        <v>1058</v>
      </c>
      <c r="G140" s="70"/>
      <c r="H140" s="71"/>
      <c r="I140" s="72" t="s">
        <v>1026</v>
      </c>
    </row>
    <row r="141" spans="1:9" ht="28.5" customHeight="1">
      <c r="A141" s="56">
        <v>45708</v>
      </c>
      <c r="B141" s="56" t="s">
        <v>46</v>
      </c>
      <c r="C141" s="26" t="s">
        <v>1059</v>
      </c>
      <c r="D141" s="6"/>
      <c r="E141" s="6" t="s">
        <v>35</v>
      </c>
      <c r="F141" s="6" t="s">
        <v>1060</v>
      </c>
      <c r="G141" s="57"/>
      <c r="H141" s="59">
        <v>1</v>
      </c>
      <c r="I141" s="6" t="s">
        <v>1026</v>
      </c>
    </row>
  </sheetData>
  <autoFilter ref="A1:I140" xr:uid="{02E6431D-AC20-4C86-A962-7FD695CC217F}">
    <filterColumn colId="8">
      <filters>
        <filter val="Active"/>
        <filter val="Pending"/>
      </filters>
    </filterColumn>
  </autoFilter>
  <phoneticPr fontId="7" type="noConversion"/>
  <hyperlinks>
    <hyperlink ref="D17" r:id="rId1" xr:uid="{250ED0FC-A2F8-4D68-AB5C-D368829A5C88}"/>
    <hyperlink ref="D60" r:id="rId2" xr:uid="{32B7F332-F588-49F2-A7A6-1823E505F728}"/>
  </hyperlink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474b3a2-d9b5-4544-b78d-a2d193eb2c5c">
      <Terms xmlns="http://schemas.microsoft.com/office/infopath/2007/PartnerControls"/>
    </lcf76f155ced4ddcb4097134ff3c332f>
    <TaxCatchAll xmlns="e454d042-c85a-44ac-8776-132d85324a04" xsi:nil="true"/>
    <SharedWithUsers xmlns="e454d042-c85a-44ac-8776-132d85324a04">
      <UserInfo>
        <DisplayName>Elena Trapezova</DisplayName>
        <AccountId>70</AccountId>
        <AccountType/>
      </UserInfo>
      <UserInfo>
        <DisplayName>Dr Vegi</DisplayName>
        <AccountId>36</AccountId>
        <AccountType/>
      </UserInfo>
      <UserInfo>
        <DisplayName>Rohit</DisplayName>
        <AccountId>76</AccountId>
        <AccountType/>
      </UserInfo>
      <UserInfo>
        <DisplayName>Bhagya</DisplayName>
        <AccountId>30</AccountId>
        <AccountType/>
      </UserInfo>
      <UserInfo>
        <DisplayName>Babu Santhaiah</DisplayName>
        <AccountId>151</AccountId>
        <AccountType/>
      </UserInfo>
      <UserInfo>
        <DisplayName>Svetlana Schenkova</DisplayName>
        <AccountId>9</AccountId>
        <AccountType/>
      </UserInfo>
      <UserInfo>
        <DisplayName>Vineet Jain</DisplayName>
        <AccountId>89</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311A292A2FCB40937BC20594D822C6" ma:contentTypeVersion="18" ma:contentTypeDescription="Create a new document." ma:contentTypeScope="" ma:versionID="163a50295969cd790c4ee32ee4d584aa">
  <xsd:schema xmlns:xsd="http://www.w3.org/2001/XMLSchema" xmlns:xs="http://www.w3.org/2001/XMLSchema" xmlns:p="http://schemas.microsoft.com/office/2006/metadata/properties" xmlns:ns2="8474b3a2-d9b5-4544-b78d-a2d193eb2c5c" xmlns:ns3="e454d042-c85a-44ac-8776-132d85324a04" targetNamespace="http://schemas.microsoft.com/office/2006/metadata/properties" ma:root="true" ma:fieldsID="3c0fdcc42ba429ae37f281e82e38ea13" ns2:_="" ns3:_="">
    <xsd:import namespace="8474b3a2-d9b5-4544-b78d-a2d193eb2c5c"/>
    <xsd:import namespace="e454d042-c85a-44ac-8776-132d85324a0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74b3a2-d9b5-4544-b78d-a2d193eb2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048b74f-3642-4741-8567-7025700108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54d042-c85a-44ac-8776-132d85324a0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0247ac8-f8f7-4db1-987b-583e426c5da5}" ma:internalName="TaxCatchAll" ma:showField="CatchAllData" ma:web="e454d042-c85a-44ac-8776-132d85324a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A1C75D-BE26-4B25-BCFC-A2E360482CC3}"/>
</file>

<file path=customXml/itemProps2.xml><?xml version="1.0" encoding="utf-8"?>
<ds:datastoreItem xmlns:ds="http://schemas.openxmlformats.org/officeDocument/2006/customXml" ds:itemID="{B45A76A3-BE9F-4843-B71E-0B9524F57F64}"/>
</file>

<file path=customXml/itemProps3.xml><?xml version="1.0" encoding="utf-8"?>
<ds:datastoreItem xmlns:ds="http://schemas.openxmlformats.org/officeDocument/2006/customXml" ds:itemID="{D219716B-F3F8-4AE9-8DD4-740E29ED91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Svetlana Schenkova</dc:creator>
  <cp:keywords/>
  <dc:description/>
  <cp:lastModifiedBy/>
  <cp:revision/>
  <dcterms:created xsi:type="dcterms:W3CDTF">2023-11-23T08:08:10Z</dcterms:created>
  <dcterms:modified xsi:type="dcterms:W3CDTF">2026-04-20T05:05:16Z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0x01010035311A292A2FCB40937BC20594D822C6</vt:lpwstr>
  </property>
  <property fmtid="{D5CDD505-2E9C-101B-9397-08002B2CF9AE}" pid="3" name="MediaServiceImageTags">
    <vt:lpwstr/>
  </property>
</Properties>
</file>